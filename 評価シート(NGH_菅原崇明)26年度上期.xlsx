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https://transcosmos-my.sharepoint.com/personal/takaaki_sugawara_transcosmos_com/Documents/00.成果目標/"/>
    </mc:Choice>
  </mc:AlternateContent>
  <xr:revisionPtr revIDLastSave="34" documentId="13_ncr:1_{0AF36C25-12EC-492B-A479-0BB55E7A67F6}" xr6:coauthVersionLast="47" xr6:coauthVersionMax="47" xr10:uidLastSave="{365DF120-1AF3-4EDE-9F86-8E40F596956E}"/>
  <bookViews>
    <workbookView xWindow="-120" yWindow="-120" windowWidth="29040" windowHeight="15720" xr2:uid="{00000000-000D-0000-FFFF-FFFF00000000}"/>
  </bookViews>
  <sheets>
    <sheet name="②評価シート（C）" sheetId="30" r:id="rId1"/>
    <sheet name="記入サンプル" sheetId="153" r:id="rId2"/>
    <sheet name="①行動評価項目" sheetId="154" r:id="rId3"/>
    <sheet name="TBL" sheetId="23" state="hidden" r:id="rId4"/>
  </sheets>
  <definedNames>
    <definedName name="_xlnm.Print_Area" localSheetId="0">'②評価シート（C）'!$A$1:$AB$23,'②評価シート（C）'!$A$32:$AB$52</definedName>
    <definedName name="_xlnm.Print_Area" localSheetId="1">記入サンプル!$A$1:$AB$23,記入サンプル!$A$32:$AB$52</definedName>
    <definedName name="_xlnm.Print_Titles" localSheetId="2">①行動評価項目!$1:$3</definedName>
    <definedName name="_xlnm.Print_Titles" localSheetId="0">'②評価シート（C）'!$1:$9</definedName>
    <definedName name="_xlnm.Print_Titles" localSheetId="1">記入サンプル!$1:$9</definedName>
    <definedName name="業績関連目標">TBL!$N$4:$N$6</definedName>
    <definedName name="個人重点施策">TBL!$N$7:$N$10</definedName>
    <definedName name="人材関連目標">TBL!$N$11:$N$14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30" l="1"/>
  <c r="AB37" i="30"/>
  <c r="AB38" i="30"/>
  <c r="AB39" i="30"/>
  <c r="AB40" i="30"/>
  <c r="AB41" i="30"/>
  <c r="AB42" i="30"/>
  <c r="AB43" i="30"/>
  <c r="AB44" i="30"/>
  <c r="AB45" i="30"/>
  <c r="AB46" i="30"/>
  <c r="AB47" i="30"/>
  <c r="AB48" i="30"/>
  <c r="AB49" i="30"/>
  <c r="AB50" i="30"/>
  <c r="AB51" i="30"/>
  <c r="B51" i="30"/>
  <c r="G51" i="30" s="1"/>
  <c r="B48" i="30"/>
  <c r="G48" i="30" s="1"/>
  <c r="AE48" i="30" s="1"/>
  <c r="B49" i="30"/>
  <c r="G49" i="30" s="1"/>
  <c r="AE49" i="30" s="1"/>
  <c r="B50" i="30"/>
  <c r="G50" i="30" s="1"/>
  <c r="AE50" i="30" s="1"/>
  <c r="B41" i="30"/>
  <c r="G41" i="30" s="1"/>
  <c r="B42" i="30"/>
  <c r="B43" i="30"/>
  <c r="B44" i="30"/>
  <c r="G44" i="30" s="1"/>
  <c r="AE44" i="30" s="1"/>
  <c r="B45" i="30"/>
  <c r="B46" i="30"/>
  <c r="G46" i="30" s="1"/>
  <c r="AE46" i="30" s="1"/>
  <c r="B47" i="30"/>
  <c r="G47" i="30" s="1"/>
  <c r="B40" i="30"/>
  <c r="G40" i="30" s="1"/>
  <c r="AE40" i="30" s="1"/>
  <c r="G39" i="30"/>
  <c r="G42" i="30"/>
  <c r="AE42" i="30" s="1"/>
  <c r="G43" i="30"/>
  <c r="AE43" i="30" s="1"/>
  <c r="G45" i="30"/>
  <c r="AE45" i="30" s="1"/>
  <c r="AE51" i="30" l="1"/>
  <c r="AF51" i="30"/>
  <c r="AE47" i="30"/>
  <c r="AF47" i="30"/>
  <c r="AE41" i="30"/>
  <c r="AF41" i="30"/>
  <c r="AF43" i="30"/>
  <c r="AD43" i="30" s="1"/>
  <c r="AC43" i="30" s="1"/>
  <c r="AF49" i="30"/>
  <c r="AD49" i="30" s="1"/>
  <c r="AC49" i="30" s="1"/>
  <c r="AF45" i="30"/>
  <c r="AD45" i="30" s="1"/>
  <c r="AC45" i="30" s="1"/>
  <c r="AF50" i="30"/>
  <c r="AD50" i="30" s="1"/>
  <c r="AC50" i="30" s="1"/>
  <c r="AF48" i="30"/>
  <c r="AD48" i="30" s="1"/>
  <c r="AC48" i="30" s="1"/>
  <c r="AF46" i="30"/>
  <c r="AD46" i="30" s="1"/>
  <c r="AC46" i="30" s="1"/>
  <c r="AF44" i="30"/>
  <c r="AD44" i="30" s="1"/>
  <c r="AC44" i="30" s="1"/>
  <c r="AF42" i="30"/>
  <c r="AD42" i="30" s="1"/>
  <c r="AC42" i="30" s="1"/>
  <c r="AF40" i="30"/>
  <c r="AD40" i="30" s="1"/>
  <c r="AC40" i="30" s="1"/>
  <c r="AD47" i="30" l="1"/>
  <c r="AC47" i="30" s="1"/>
  <c r="AD51" i="30"/>
  <c r="AC51" i="30" s="1"/>
  <c r="AD41" i="30"/>
  <c r="AC41" i="30" s="1"/>
  <c r="AB36" i="30"/>
  <c r="AB52" i="30" l="1"/>
  <c r="AA3" i="30" s="1"/>
  <c r="G36" i="30"/>
  <c r="G38" i="30" l="1"/>
  <c r="AF17" i="153" l="1"/>
  <c r="AF18" i="153"/>
  <c r="AF19" i="153"/>
  <c r="AF20" i="153"/>
  <c r="AF21" i="153"/>
  <c r="AF16" i="153"/>
  <c r="AF17" i="30"/>
  <c r="AF18" i="30"/>
  <c r="AF19" i="30"/>
  <c r="AF20" i="30"/>
  <c r="AF21" i="30"/>
  <c r="AF16" i="30"/>
  <c r="AA21" i="153" l="1"/>
  <c r="AA20" i="153"/>
  <c r="AA19" i="153"/>
  <c r="AF51" i="153" l="1"/>
  <c r="AE51" i="153"/>
  <c r="AB51" i="153"/>
  <c r="AF50" i="153"/>
  <c r="AE50" i="153"/>
  <c r="AD50" i="153" s="1"/>
  <c r="AC50" i="153" s="1"/>
  <c r="AB50" i="153"/>
  <c r="AF49" i="153"/>
  <c r="AE49" i="153"/>
  <c r="AB49" i="153"/>
  <c r="AF48" i="153"/>
  <c r="AE48" i="153"/>
  <c r="AD48" i="153" s="1"/>
  <c r="AC48" i="153" s="1"/>
  <c r="AB48" i="153"/>
  <c r="AF47" i="153"/>
  <c r="AD47" i="153" s="1"/>
  <c r="AC47" i="153" s="1"/>
  <c r="AE47" i="153"/>
  <c r="AB47" i="153"/>
  <c r="AF46" i="153"/>
  <c r="AE46" i="153"/>
  <c r="AB46" i="153"/>
  <c r="AF45" i="153"/>
  <c r="AE45" i="153"/>
  <c r="AB45" i="153"/>
  <c r="AF44" i="153"/>
  <c r="AE44" i="153"/>
  <c r="AB44" i="153"/>
  <c r="AF43" i="153"/>
  <c r="AE43" i="153"/>
  <c r="AB43" i="153"/>
  <c r="AF42" i="153"/>
  <c r="AE42" i="153"/>
  <c r="AB42" i="153"/>
  <c r="AF41" i="153"/>
  <c r="AE41" i="153"/>
  <c r="AB41" i="153"/>
  <c r="AF40" i="153"/>
  <c r="AE40" i="153"/>
  <c r="AB40" i="153"/>
  <c r="AF39" i="153"/>
  <c r="AE39" i="153"/>
  <c r="AB39" i="153"/>
  <c r="AF38" i="153"/>
  <c r="AE38" i="153"/>
  <c r="AB38" i="153"/>
  <c r="AF37" i="153"/>
  <c r="AE37" i="153"/>
  <c r="AB37" i="153"/>
  <c r="AF36" i="153"/>
  <c r="AE36" i="153"/>
  <c r="AB36" i="153"/>
  <c r="AB52" i="153" s="1"/>
  <c r="AA3" i="153" s="1"/>
  <c r="Q22" i="153"/>
  <c r="AE16" i="153" s="1"/>
  <c r="AG21" i="153"/>
  <c r="AE21" i="153"/>
  <c r="AB21" i="153" s="1"/>
  <c r="AD21" i="153"/>
  <c r="AC21" i="153" s="1"/>
  <c r="AG20" i="153"/>
  <c r="AE20" i="153"/>
  <c r="AB20" i="153" s="1"/>
  <c r="AD20" i="153"/>
  <c r="AC20" i="153" s="1"/>
  <c r="AG19" i="153"/>
  <c r="AE19" i="153"/>
  <c r="AB19" i="153" s="1"/>
  <c r="AD19" i="153"/>
  <c r="AC19" i="153" s="1"/>
  <c r="AG18" i="153"/>
  <c r="AE18" i="153"/>
  <c r="AG17" i="153"/>
  <c r="AG16" i="153"/>
  <c r="R13" i="153"/>
  <c r="Q22" i="30"/>
  <c r="AE16" i="30" s="1"/>
  <c r="AD49" i="153" l="1"/>
  <c r="AC49" i="153" s="1"/>
  <c r="AE17" i="153"/>
  <c r="AD39" i="153"/>
  <c r="AC39" i="153" s="1"/>
  <c r="AD43" i="153"/>
  <c r="AC43" i="153" s="1"/>
  <c r="AD51" i="153"/>
  <c r="AC51" i="153" s="1"/>
  <c r="AD42" i="153"/>
  <c r="AC42" i="153" s="1"/>
  <c r="AD46" i="153"/>
  <c r="AC46" i="153" s="1"/>
  <c r="AD36" i="153"/>
  <c r="AC36" i="153" s="1"/>
  <c r="AD45" i="153"/>
  <c r="AC45" i="153" s="1"/>
  <c r="AD37" i="153"/>
  <c r="AC37" i="153" s="1"/>
  <c r="AD40" i="153"/>
  <c r="AC40" i="153" s="1"/>
  <c r="AD41" i="153"/>
  <c r="AC41" i="153" s="1"/>
  <c r="AD38" i="153"/>
  <c r="AC38" i="153" s="1"/>
  <c r="AD44" i="153"/>
  <c r="AC44" i="153" s="1"/>
  <c r="AD16" i="153"/>
  <c r="AC16" i="153" s="1"/>
  <c r="AD17" i="153"/>
  <c r="AD18" i="153"/>
  <c r="AC18" i="153" l="1"/>
  <c r="AC17" i="153"/>
  <c r="AG21" i="30"/>
  <c r="AE21" i="30"/>
  <c r="AD21" i="30"/>
  <c r="AC21" i="30" s="1"/>
  <c r="AG20" i="30"/>
  <c r="AE20" i="30"/>
  <c r="AD20" i="30"/>
  <c r="AC20" i="30" s="1"/>
  <c r="AG19" i="30"/>
  <c r="AE19" i="30"/>
  <c r="AD19" i="30" s="1"/>
  <c r="AC19" i="30" s="1"/>
  <c r="AG18" i="30"/>
  <c r="AE18" i="30"/>
  <c r="AG17" i="30"/>
  <c r="AE17" i="30"/>
  <c r="AG16" i="30"/>
  <c r="AD18" i="30" l="1"/>
  <c r="AC18" i="30" s="1"/>
  <c r="AD17" i="30"/>
  <c r="AC17" i="30" s="1"/>
  <c r="AD16" i="30"/>
  <c r="AC16" i="30" s="1"/>
  <c r="AA21" i="30"/>
  <c r="AB21" i="30" s="1"/>
  <c r="AA20" i="30"/>
  <c r="AB20" i="30" s="1"/>
  <c r="AA19" i="30"/>
  <c r="AB19" i="30" s="1"/>
  <c r="AA18" i="30"/>
  <c r="AB18" i="30" s="1"/>
  <c r="AA17" i="30"/>
  <c r="AB17" i="30" s="1"/>
  <c r="AA16" i="30"/>
  <c r="AB16" i="30" s="1"/>
  <c r="AB23" i="30" l="1"/>
  <c r="AE38" i="30" l="1"/>
  <c r="AF38" i="30"/>
  <c r="AE36" i="30"/>
  <c r="AF36" i="30"/>
  <c r="AE39" i="30"/>
  <c r="AF39" i="30"/>
  <c r="AE37" i="30"/>
  <c r="AF37" i="30"/>
  <c r="R13" i="30"/>
  <c r="AD36" i="30" l="1"/>
  <c r="AC36" i="30" s="1"/>
  <c r="AD39" i="30"/>
  <c r="AC39" i="30" s="1"/>
  <c r="AD38" i="30"/>
  <c r="AC38" i="30" s="1"/>
  <c r="AD37" i="30"/>
  <c r="AC37" i="30" s="1"/>
  <c r="Y3" i="30"/>
  <c r="F5" i="23"/>
  <c r="F6" i="23"/>
  <c r="F7" i="23"/>
  <c r="F8" i="23"/>
  <c r="F9" i="23"/>
  <c r="F10" i="23"/>
  <c r="F11" i="23"/>
  <c r="F12" i="23"/>
  <c r="F13" i="23"/>
  <c r="F14" i="23"/>
  <c r="F15" i="23"/>
  <c r="F16" i="23"/>
  <c r="F17" i="23"/>
  <c r="F18" i="23"/>
  <c r="F19" i="23"/>
  <c r="F20" i="23"/>
  <c r="F21" i="23"/>
  <c r="F22" i="23"/>
  <c r="F23" i="23"/>
  <c r="F4" i="23"/>
  <c r="AA17" i="153" l="1"/>
  <c r="AB17" i="153" s="1"/>
  <c r="AA16" i="153"/>
  <c r="AB16" i="153" s="1"/>
  <c r="AA18" i="153"/>
  <c r="AB18" i="153" s="1"/>
  <c r="AB23" i="153" l="1"/>
  <c r="Y3" i="153" s="1"/>
</calcChain>
</file>

<file path=xl/sharedStrings.xml><?xml version="1.0" encoding="utf-8"?>
<sst xmlns="http://schemas.openxmlformats.org/spreadsheetml/2006/main" count="600" uniqueCount="283">
  <si>
    <t>何を</t>
    <rPh sb="0" eb="1">
      <t>ナニ</t>
    </rPh>
    <phoneticPr fontId="1"/>
  </si>
  <si>
    <t>難易度</t>
    <rPh sb="0" eb="3">
      <t>ナンイド</t>
    </rPh>
    <phoneticPr fontId="1"/>
  </si>
  <si>
    <t>達成度</t>
    <rPh sb="0" eb="2">
      <t>タッセイ</t>
    </rPh>
    <rPh sb="2" eb="3">
      <t>ド</t>
    </rPh>
    <phoneticPr fontId="1"/>
  </si>
  <si>
    <t>自己レビュー</t>
    <rPh sb="0" eb="2">
      <t>ジコ</t>
    </rPh>
    <phoneticPr fontId="1"/>
  </si>
  <si>
    <t>上司コメント</t>
    <rPh sb="0" eb="2">
      <t>ジョウシ</t>
    </rPh>
    <phoneticPr fontId="1"/>
  </si>
  <si>
    <t>自己評価</t>
    <rPh sb="0" eb="2">
      <t>ジコ</t>
    </rPh>
    <rPh sb="2" eb="4">
      <t>ヒョウカ</t>
    </rPh>
    <phoneticPr fontId="1"/>
  </si>
  <si>
    <t>上司評価</t>
    <rPh sb="0" eb="2">
      <t>ジョウシ</t>
    </rPh>
    <rPh sb="2" eb="4">
      <t>ヒョウカ</t>
    </rPh>
    <phoneticPr fontId="1"/>
  </si>
  <si>
    <t>ウェイト</t>
    <phoneticPr fontId="1"/>
  </si>
  <si>
    <t>人材関連目標</t>
    <rPh sb="0" eb="2">
      <t>ジンザイ</t>
    </rPh>
    <rPh sb="2" eb="4">
      <t>カンレン</t>
    </rPh>
    <rPh sb="4" eb="6">
      <t>モクヒョウ</t>
    </rPh>
    <phoneticPr fontId="1"/>
  </si>
  <si>
    <t>業績関連目標</t>
    <rPh sb="0" eb="2">
      <t>ギョウセキ</t>
    </rPh>
    <rPh sb="2" eb="4">
      <t>カンレン</t>
    </rPh>
    <rPh sb="4" eb="6">
      <t>モクヒョウ</t>
    </rPh>
    <phoneticPr fontId="1"/>
  </si>
  <si>
    <t>業務拡大・企画提案</t>
    <rPh sb="0" eb="2">
      <t>ギョウム</t>
    </rPh>
    <rPh sb="2" eb="4">
      <t>カクダイ</t>
    </rPh>
    <rPh sb="5" eb="7">
      <t>キカク</t>
    </rPh>
    <rPh sb="7" eb="9">
      <t>テイアン</t>
    </rPh>
    <phoneticPr fontId="1"/>
  </si>
  <si>
    <t>業務改善・品質向上</t>
    <rPh sb="0" eb="2">
      <t>ギョウム</t>
    </rPh>
    <rPh sb="2" eb="4">
      <t>カイゼン</t>
    </rPh>
    <rPh sb="5" eb="7">
      <t>ヒンシツ</t>
    </rPh>
    <rPh sb="7" eb="9">
      <t>コウジョウ</t>
    </rPh>
    <phoneticPr fontId="1"/>
  </si>
  <si>
    <t>自己研鑽</t>
    <rPh sb="0" eb="2">
      <t>ジコ</t>
    </rPh>
    <rPh sb="2" eb="4">
      <t>ケンサン</t>
    </rPh>
    <phoneticPr fontId="1"/>
  </si>
  <si>
    <t>評価点</t>
    <rPh sb="0" eb="2">
      <t>ヒョウカ</t>
    </rPh>
    <rPh sb="2" eb="3">
      <t>テン</t>
    </rPh>
    <phoneticPr fontId="1"/>
  </si>
  <si>
    <t>目標内容</t>
    <rPh sb="0" eb="2">
      <t>モクヒョウ</t>
    </rPh>
    <rPh sb="2" eb="4">
      <t>ナイヨウ</t>
    </rPh>
    <phoneticPr fontId="1"/>
  </si>
  <si>
    <t>いつまでに</t>
    <phoneticPr fontId="1"/>
  </si>
  <si>
    <t>どのくらい</t>
    <phoneticPr fontId="1"/>
  </si>
  <si>
    <t>売上関連</t>
    <rPh sb="0" eb="2">
      <t>ウリアゲ</t>
    </rPh>
    <rPh sb="2" eb="4">
      <t>カンレン</t>
    </rPh>
    <phoneticPr fontId="1"/>
  </si>
  <si>
    <t>利益関連</t>
    <rPh sb="0" eb="2">
      <t>リエキ</t>
    </rPh>
    <rPh sb="2" eb="4">
      <t>カンレン</t>
    </rPh>
    <phoneticPr fontId="1"/>
  </si>
  <si>
    <t>個人重点施策</t>
    <rPh sb="0" eb="2">
      <t>コジン</t>
    </rPh>
    <rPh sb="2" eb="4">
      <t>ジュウテン</t>
    </rPh>
    <rPh sb="4" eb="6">
      <t>シサク</t>
    </rPh>
    <phoneticPr fontId="1"/>
  </si>
  <si>
    <t>どのように（プロセス）</t>
    <phoneticPr fontId="1"/>
  </si>
  <si>
    <t>行動評価項目</t>
    <rPh sb="0" eb="2">
      <t>コウドウ</t>
    </rPh>
    <rPh sb="2" eb="4">
      <t>ヒョウカ</t>
    </rPh>
    <rPh sb="4" eb="6">
      <t>コウモク</t>
    </rPh>
    <phoneticPr fontId="1"/>
  </si>
  <si>
    <t>期待行動</t>
    <rPh sb="0" eb="2">
      <t>キタイ</t>
    </rPh>
    <rPh sb="2" eb="4">
      <t>コウドウ</t>
    </rPh>
    <phoneticPr fontId="1"/>
  </si>
  <si>
    <t>自己評価　（期末）</t>
    <rPh sb="0" eb="2">
      <t>ジコ</t>
    </rPh>
    <rPh sb="2" eb="4">
      <t>ヒョウカ</t>
    </rPh>
    <rPh sb="6" eb="8">
      <t>キマツ</t>
    </rPh>
    <phoneticPr fontId="5"/>
  </si>
  <si>
    <t>上司評価　（期末）</t>
    <rPh sb="0" eb="2">
      <t>ジョウシ</t>
    </rPh>
    <rPh sb="2" eb="4">
      <t>ヒョウカ</t>
    </rPh>
    <rPh sb="6" eb="8">
      <t>キマツ</t>
    </rPh>
    <phoneticPr fontId="5"/>
  </si>
  <si>
    <t>達成度</t>
    <rPh sb="0" eb="2">
      <t>タッセイ</t>
    </rPh>
    <rPh sb="2" eb="3">
      <t>ド</t>
    </rPh>
    <phoneticPr fontId="5"/>
  </si>
  <si>
    <t>　自己レビュー</t>
    <rPh sb="1" eb="3">
      <t>ジコ</t>
    </rPh>
    <phoneticPr fontId="5"/>
  </si>
  <si>
    <t>　上司コメント</t>
  </si>
  <si>
    <t>情報収集</t>
    <phoneticPr fontId="1"/>
  </si>
  <si>
    <t>課題認識・企画提案</t>
    <phoneticPr fontId="1"/>
  </si>
  <si>
    <t>適応・柔軟性</t>
    <phoneticPr fontId="1"/>
  </si>
  <si>
    <t>顧客志向</t>
    <phoneticPr fontId="1"/>
  </si>
  <si>
    <t>信頼構築</t>
    <phoneticPr fontId="1"/>
  </si>
  <si>
    <t>サービス改善・創意工夫</t>
    <phoneticPr fontId="1"/>
  </si>
  <si>
    <t>協調・チームワーク</t>
    <phoneticPr fontId="1"/>
  </si>
  <si>
    <t>役割認識・リーダーシップ</t>
    <phoneticPr fontId="1"/>
  </si>
  <si>
    <t>組織･ネットワーク活用</t>
    <phoneticPr fontId="1"/>
  </si>
  <si>
    <t>人材育成</t>
    <phoneticPr fontId="1"/>
  </si>
  <si>
    <t>チャレンジ</t>
    <phoneticPr fontId="1"/>
  </si>
  <si>
    <t>タスク管理</t>
    <phoneticPr fontId="1"/>
  </si>
  <si>
    <t>達成志向・責任感</t>
    <phoneticPr fontId="1"/>
  </si>
  <si>
    <t>目標の見直しが必要な場合は計画の見直しや業務プロセスの改善を取り組み、目標や計画を責任を持って成し遂げている。</t>
  </si>
  <si>
    <t>自己研鑽</t>
    <phoneticPr fontId="1"/>
  </si>
  <si>
    <t>ストレスマネジメント</t>
    <phoneticPr fontId="1"/>
  </si>
  <si>
    <t>誠実性</t>
    <rPh sb="0" eb="3">
      <t>セイジツセイ</t>
    </rPh>
    <phoneticPr fontId="1"/>
  </si>
  <si>
    <t>定義</t>
  </si>
  <si>
    <t>社員番号</t>
    <rPh sb="0" eb="2">
      <t>シャイン</t>
    </rPh>
    <rPh sb="2" eb="4">
      <t>バンゴウ</t>
    </rPh>
    <phoneticPr fontId="5"/>
  </si>
  <si>
    <t>氏名</t>
    <rPh sb="0" eb="2">
      <t>シメイ</t>
    </rPh>
    <phoneticPr fontId="5"/>
  </si>
  <si>
    <t>所属</t>
    <rPh sb="0" eb="2">
      <t>ショゾク</t>
    </rPh>
    <phoneticPr fontId="5"/>
  </si>
  <si>
    <t>入社日</t>
    <rPh sb="0" eb="2">
      <t>ニュウシャ</t>
    </rPh>
    <rPh sb="2" eb="3">
      <t>ヒ</t>
    </rPh>
    <phoneticPr fontId="5"/>
  </si>
  <si>
    <t>組織区分</t>
    <rPh sb="0" eb="2">
      <t>ソシキ</t>
    </rPh>
    <rPh sb="2" eb="4">
      <t>クブン</t>
    </rPh>
    <phoneticPr fontId="5"/>
  </si>
  <si>
    <t>■成果評価シート</t>
    <rPh sb="1" eb="3">
      <t>セイカ</t>
    </rPh>
    <rPh sb="3" eb="5">
      <t>ヒョウカ</t>
    </rPh>
    <phoneticPr fontId="1"/>
  </si>
  <si>
    <t>■行動評価シート</t>
    <rPh sb="1" eb="3">
      <t>コウドウ</t>
    </rPh>
    <rPh sb="3" eb="5">
      <t>ヒョウカ</t>
    </rPh>
    <phoneticPr fontId="1"/>
  </si>
  <si>
    <t>行動評価点</t>
    <rPh sb="0" eb="2">
      <t>コウドウ</t>
    </rPh>
    <rPh sb="2" eb="4">
      <t>ヒョウカ</t>
    </rPh>
    <rPh sb="4" eb="5">
      <t>テン</t>
    </rPh>
    <phoneticPr fontId="1"/>
  </si>
  <si>
    <t>成果評価点</t>
    <rPh sb="0" eb="2">
      <t>セイカ</t>
    </rPh>
    <rPh sb="2" eb="4">
      <t>ヒョウカ</t>
    </rPh>
    <rPh sb="4" eb="5">
      <t>テン</t>
    </rPh>
    <phoneticPr fontId="1"/>
  </si>
  <si>
    <t>評価時期</t>
    <rPh sb="0" eb="2">
      <t>ヒョウカ</t>
    </rPh>
    <rPh sb="2" eb="4">
      <t>ジキ</t>
    </rPh>
    <phoneticPr fontId="5"/>
  </si>
  <si>
    <t>難易度</t>
  </si>
  <si>
    <t>S</t>
  </si>
  <si>
    <t>上司、上位職に求められるレベルの目標</t>
  </si>
  <si>
    <t>A</t>
  </si>
  <si>
    <t>自身の経験・能力の範疇よりストレッチした目標</t>
  </si>
  <si>
    <t>B</t>
  </si>
  <si>
    <t>過去の経験・能力の範疇で達成可能な目標</t>
  </si>
  <si>
    <t>C</t>
  </si>
  <si>
    <t>部下、下位職に求められるレベルの目標</t>
  </si>
  <si>
    <t>達成度</t>
  </si>
  <si>
    <t>達成目安</t>
  </si>
  <si>
    <t>Ⅴ</t>
  </si>
  <si>
    <t>設定目標を大きく上回り、突出した成果を出した</t>
  </si>
  <si>
    <t>130％以上</t>
  </si>
  <si>
    <t>Ⅳ</t>
  </si>
  <si>
    <t>設定目標を上回り、期待を超える成果を出した</t>
  </si>
  <si>
    <t>110％以上～130％未満</t>
  </si>
  <si>
    <t>Ⅲ</t>
  </si>
  <si>
    <t>設定目標を満たした</t>
  </si>
  <si>
    <t>100％以上～110％未満</t>
  </si>
  <si>
    <t>Ⅱ</t>
  </si>
  <si>
    <t>設定目標に一歩及ばず、成果を一部達成できなかった</t>
  </si>
  <si>
    <t>80％以上～100％未満</t>
  </si>
  <si>
    <t>Ⅰ</t>
  </si>
  <si>
    <t>設定目標を大きく下回り、成果を達成できなかった</t>
  </si>
  <si>
    <t>80％未満</t>
  </si>
  <si>
    <t>■評価点</t>
    <rPh sb="1" eb="3">
      <t>ヒョウカ</t>
    </rPh>
    <rPh sb="3" eb="4">
      <t>テン</t>
    </rPh>
    <phoneticPr fontId="1"/>
  </si>
  <si>
    <t>評価点</t>
  </si>
  <si>
    <t>期待を上回る、高い行動レベルが徹底され、他の模範として影響をもたらしている</t>
  </si>
  <si>
    <t>期待を上回る、高い行動レベルが身につき、実践できている</t>
  </si>
  <si>
    <t>期待される行動レベルが身につき、実践できている</t>
  </si>
  <si>
    <t>期待される行動レベルに一部達していない部分があるが、概ね実践できている</t>
  </si>
  <si>
    <t>期待される行動レベルに遥かに及ばない</t>
  </si>
  <si>
    <t>S</t>
    <phoneticPr fontId="1"/>
  </si>
  <si>
    <t>Ⅴ</t>
    <phoneticPr fontId="1"/>
  </si>
  <si>
    <t>Ⅳ</t>
    <phoneticPr fontId="1"/>
  </si>
  <si>
    <t>Ⅲ</t>
    <phoneticPr fontId="1"/>
  </si>
  <si>
    <t>Ⅱ</t>
    <phoneticPr fontId="1"/>
  </si>
  <si>
    <t>Ⅰ</t>
    <phoneticPr fontId="1"/>
  </si>
  <si>
    <t>A</t>
    <phoneticPr fontId="1"/>
  </si>
  <si>
    <t>B</t>
    <phoneticPr fontId="1"/>
  </si>
  <si>
    <t>C</t>
    <phoneticPr fontId="1"/>
  </si>
  <si>
    <t>VLOOK用</t>
    <rPh sb="5" eb="6">
      <t>ヨウ</t>
    </rPh>
    <phoneticPr fontId="1"/>
  </si>
  <si>
    <t>変化に対する期待行動</t>
    <phoneticPr fontId="1"/>
  </si>
  <si>
    <t>顧客に対する期待行動</t>
    <phoneticPr fontId="1"/>
  </si>
  <si>
    <t>組織に対する期待行動</t>
    <phoneticPr fontId="1"/>
  </si>
  <si>
    <t>プロフェッショナルとしての期待行動</t>
    <phoneticPr fontId="1"/>
  </si>
  <si>
    <t>評価点</t>
    <rPh sb="0" eb="2">
      <t>ヒョウカ</t>
    </rPh>
    <rPh sb="2" eb="3">
      <t>テン</t>
    </rPh>
    <phoneticPr fontId="5"/>
  </si>
  <si>
    <t>ウェイト
×
評価点</t>
    <rPh sb="7" eb="9">
      <t>ヒョウカ</t>
    </rPh>
    <rPh sb="9" eb="10">
      <t>テン</t>
    </rPh>
    <phoneticPr fontId="1"/>
  </si>
  <si>
    <t>目標設定面談</t>
    <rPh sb="0" eb="2">
      <t>モクヒョウ</t>
    </rPh>
    <rPh sb="2" eb="4">
      <t>セッテイ</t>
    </rPh>
    <rPh sb="4" eb="6">
      <t>メンダン</t>
    </rPh>
    <phoneticPr fontId="1"/>
  </si>
  <si>
    <t>評価面談</t>
    <rPh sb="0" eb="2">
      <t>ヒョウカ</t>
    </rPh>
    <rPh sb="2" eb="4">
      <t>メンダン</t>
    </rPh>
    <phoneticPr fontId="1"/>
  </si>
  <si>
    <t>月</t>
    <rPh sb="0" eb="1">
      <t>ガツ</t>
    </rPh>
    <phoneticPr fontId="1"/>
  </si>
  <si>
    <t>日</t>
    <rPh sb="0" eb="1">
      <t>ニチ</t>
    </rPh>
    <phoneticPr fontId="1"/>
  </si>
  <si>
    <t>~</t>
    <phoneticPr fontId="1"/>
  </si>
  <si>
    <t>日時</t>
    <rPh sb="0" eb="2">
      <t>ニチジ</t>
    </rPh>
    <phoneticPr fontId="1"/>
  </si>
  <si>
    <t>面談場所</t>
    <rPh sb="0" eb="2">
      <t>メンダン</t>
    </rPh>
    <rPh sb="2" eb="4">
      <t>バショ</t>
    </rPh>
    <phoneticPr fontId="1"/>
  </si>
  <si>
    <t>■1次評価者 面談実施確認欄</t>
    <rPh sb="2" eb="3">
      <t>ジ</t>
    </rPh>
    <rPh sb="3" eb="5">
      <t>ヒョウカ</t>
    </rPh>
    <rPh sb="5" eb="6">
      <t>シャ</t>
    </rPh>
    <rPh sb="7" eb="9">
      <t>メンダン</t>
    </rPh>
    <rPh sb="9" eb="11">
      <t>ジッシ</t>
    </rPh>
    <rPh sb="11" eb="13">
      <t>カクニン</t>
    </rPh>
    <rPh sb="13" eb="14">
      <t>ラン</t>
    </rPh>
    <phoneticPr fontId="1"/>
  </si>
  <si>
    <t>1次評価者氏名</t>
    <rPh sb="1" eb="2">
      <t>ジ</t>
    </rPh>
    <rPh sb="2" eb="4">
      <t>ヒョウカ</t>
    </rPh>
    <rPh sb="4" eb="5">
      <t>シャ</t>
    </rPh>
    <rPh sb="5" eb="7">
      <t>シメイ</t>
    </rPh>
    <phoneticPr fontId="1"/>
  </si>
  <si>
    <t>1次評価者社員番号</t>
    <rPh sb="1" eb="2">
      <t>ジ</t>
    </rPh>
    <rPh sb="2" eb="4">
      <t>ヒョウカ</t>
    </rPh>
    <rPh sb="4" eb="5">
      <t>シャ</t>
    </rPh>
    <rPh sb="5" eb="7">
      <t>シャイン</t>
    </rPh>
    <rPh sb="7" eb="9">
      <t>バンゴウ</t>
    </rPh>
    <phoneticPr fontId="1"/>
  </si>
  <si>
    <t>　　難易度
達成度</t>
    <phoneticPr fontId="1"/>
  </si>
  <si>
    <t>■成果評価TBL</t>
    <rPh sb="1" eb="3">
      <t>セイカ</t>
    </rPh>
    <rPh sb="3" eb="5">
      <t>ヒョウカ</t>
    </rPh>
    <phoneticPr fontId="1"/>
  </si>
  <si>
    <t>■等級TBL</t>
    <rPh sb="1" eb="3">
      <t>トウキュウ</t>
    </rPh>
    <phoneticPr fontId="1"/>
  </si>
  <si>
    <t>等級</t>
    <rPh sb="0" eb="2">
      <t>トウキュウ</t>
    </rPh>
    <phoneticPr fontId="1"/>
  </si>
  <si>
    <t>等級1</t>
    <rPh sb="0" eb="2">
      <t>トウキュウ</t>
    </rPh>
    <phoneticPr fontId="1"/>
  </si>
  <si>
    <t>等級2</t>
    <rPh sb="0" eb="2">
      <t>トウキュウ</t>
    </rPh>
    <phoneticPr fontId="1"/>
  </si>
  <si>
    <t>等級3</t>
    <rPh sb="0" eb="2">
      <t>トウキュウ</t>
    </rPh>
    <phoneticPr fontId="1"/>
  </si>
  <si>
    <t>等級4</t>
    <rPh sb="0" eb="2">
      <t>トウキュウ</t>
    </rPh>
    <phoneticPr fontId="1"/>
  </si>
  <si>
    <t>等級5</t>
    <rPh sb="0" eb="2">
      <t>トウキュウ</t>
    </rPh>
    <phoneticPr fontId="1"/>
  </si>
  <si>
    <t>年俸</t>
    <rPh sb="0" eb="2">
      <t>ネンポウ</t>
    </rPh>
    <phoneticPr fontId="1"/>
  </si>
  <si>
    <t>その他</t>
    <rPh sb="2" eb="3">
      <t>タ</t>
    </rPh>
    <phoneticPr fontId="1"/>
  </si>
  <si>
    <t>業務遂行</t>
    <rPh sb="0" eb="2">
      <t>ギョウム</t>
    </rPh>
    <rPh sb="2" eb="4">
      <t>スイコウ</t>
    </rPh>
    <phoneticPr fontId="1"/>
  </si>
  <si>
    <t>職場活性</t>
    <rPh sb="0" eb="2">
      <t>ショクバ</t>
    </rPh>
    <rPh sb="2" eb="4">
      <t>カッセイ</t>
    </rPh>
    <phoneticPr fontId="1"/>
  </si>
  <si>
    <t>人材育成</t>
    <rPh sb="0" eb="2">
      <t>ジンザイ</t>
    </rPh>
    <rPh sb="2" eb="4">
      <t>イクセイ</t>
    </rPh>
    <phoneticPr fontId="1"/>
  </si>
  <si>
    <t>目標区分</t>
    <rPh sb="0" eb="2">
      <t>モクヒョウ</t>
    </rPh>
    <rPh sb="2" eb="4">
      <t>クブン</t>
    </rPh>
    <phoneticPr fontId="1"/>
  </si>
  <si>
    <t>目標カテゴリ</t>
    <rPh sb="0" eb="2">
      <t>モクヒョウ</t>
    </rPh>
    <phoneticPr fontId="1"/>
  </si>
  <si>
    <t>■目標カテゴリ</t>
    <rPh sb="1" eb="3">
      <t>モクヒョウ</t>
    </rPh>
    <phoneticPr fontId="1"/>
  </si>
  <si>
    <t>■行動評価参照</t>
    <rPh sb="1" eb="3">
      <t>コウドウ</t>
    </rPh>
    <rPh sb="3" eb="5">
      <t>ヒョウカ</t>
    </rPh>
    <rPh sb="5" eb="7">
      <t>サンショウ</t>
    </rPh>
    <phoneticPr fontId="1"/>
  </si>
  <si>
    <t>参照列</t>
    <rPh sb="0" eb="2">
      <t>サンショウ</t>
    </rPh>
    <rPh sb="2" eb="3">
      <t>レツ</t>
    </rPh>
    <phoneticPr fontId="1"/>
  </si>
  <si>
    <t>■行動評価TBL</t>
    <rPh sb="1" eb="3">
      <t>コウドウ</t>
    </rPh>
    <rPh sb="3" eb="5">
      <t>ヒョウカ</t>
    </rPh>
    <phoneticPr fontId="1"/>
  </si>
  <si>
    <t>Ⅴ</t>
    <phoneticPr fontId="1"/>
  </si>
  <si>
    <t>Ⅳ</t>
    <phoneticPr fontId="1"/>
  </si>
  <si>
    <t>Ⅲ</t>
    <phoneticPr fontId="1"/>
  </si>
  <si>
    <t>Ⅱ</t>
    <phoneticPr fontId="1"/>
  </si>
  <si>
    <t>Ⅰ</t>
    <phoneticPr fontId="1"/>
  </si>
  <si>
    <t>評語</t>
    <rPh sb="0" eb="2">
      <t>ヒョウゴ</t>
    </rPh>
    <phoneticPr fontId="1"/>
  </si>
  <si>
    <t>得点</t>
    <rPh sb="0" eb="2">
      <t>トクテン</t>
    </rPh>
    <phoneticPr fontId="1"/>
  </si>
  <si>
    <t>2017年度</t>
    <rPh sb="4" eb="6">
      <t>ネンド</t>
    </rPh>
    <phoneticPr fontId="5"/>
  </si>
  <si>
    <t xml:space="preserve">
</t>
    <phoneticPr fontId="1"/>
  </si>
  <si>
    <t xml:space="preserve">
</t>
    <phoneticPr fontId="1"/>
  </si>
  <si>
    <t>本人記入欄</t>
    <rPh sb="0" eb="2">
      <t>ホンニン</t>
    </rPh>
    <rPh sb="2" eb="5">
      <t>キニュウラン</t>
    </rPh>
    <phoneticPr fontId="1"/>
  </si>
  <si>
    <t>上司記入欄</t>
    <rPh sb="0" eb="2">
      <t>ジョウシ</t>
    </rPh>
    <rPh sb="2" eb="4">
      <t>キニュウ</t>
    </rPh>
    <rPh sb="4" eb="5">
      <t>ラン</t>
    </rPh>
    <phoneticPr fontId="1"/>
  </si>
  <si>
    <t>自動計算欄</t>
    <rPh sb="0" eb="2">
      <t>ジドウ</t>
    </rPh>
    <rPh sb="2" eb="4">
      <t>ケイサン</t>
    </rPh>
    <rPh sb="4" eb="5">
      <t>ラン</t>
    </rPh>
    <phoneticPr fontId="1"/>
  </si>
  <si>
    <t>上期</t>
  </si>
  <si>
    <t>XXXXXXX</t>
    <phoneticPr fontId="1"/>
  </si>
  <si>
    <t>XXXXXXX</t>
    <phoneticPr fontId="1"/>
  </si>
  <si>
    <t>XXXX/XX/XX</t>
    <phoneticPr fontId="1"/>
  </si>
  <si>
    <t>XXXXXXXX</t>
  </si>
  <si>
    <t>XXXXXXXX</t>
    <phoneticPr fontId="1"/>
  </si>
  <si>
    <t>XXXXXXXXX</t>
    <phoneticPr fontId="1"/>
  </si>
  <si>
    <t>本社</t>
    <rPh sb="0" eb="2">
      <t>ホンシャ</t>
    </rPh>
    <phoneticPr fontId="1"/>
  </si>
  <si>
    <t>未入力CK</t>
    <rPh sb="0" eb="3">
      <t>ミニュウリョク</t>
    </rPh>
    <phoneticPr fontId="1"/>
  </si>
  <si>
    <t>上司評価CK</t>
    <rPh sb="0" eb="2">
      <t>ジョウシ</t>
    </rPh>
    <rPh sb="2" eb="4">
      <t>ヒョウカ</t>
    </rPh>
    <phoneticPr fontId="1"/>
  </si>
  <si>
    <t>自己評価CK</t>
    <rPh sb="0" eb="2">
      <t>ジコ</t>
    </rPh>
    <rPh sb="2" eb="4">
      <t>ヒョウカ</t>
    </rPh>
    <phoneticPr fontId="1"/>
  </si>
  <si>
    <t>ウェイトCK</t>
    <phoneticPr fontId="1"/>
  </si>
  <si>
    <t>業務上の問題点を整理し、状況、状態を的確に把握すると共に、状況変化に応じて業務の優先順位をつけて、対応策を検討している。</t>
  </si>
  <si>
    <t>環境や状況の変化を察知し、上位方針や過去の事例に基づいて適切に判断している。</t>
  </si>
  <si>
    <t>顧客が難しい問題に直面している時に、相手が何を求めているかを察知し、いつでも十分に対応できるよう、自発的に対応している。</t>
  </si>
  <si>
    <t>現場を大切にして、顧客の利益につながるよう、特に指示がなくとも求められている使命を果たすよう行動し、自身への信頼を獲得している</t>
  </si>
  <si>
    <t>顧客のより高い満足を実現するために、提供サービスや業務に創意工夫や改善を行ない、チーム全体で顧客の期待以上の品質向上や効率化に取り組んでいる。</t>
  </si>
  <si>
    <t xml:space="preserve">組織目標や上位方針から、自身の果たすべき役割や責任を正しく認識し、迅速な行動・判断によってリーダーシップを発揮し、チームに貢献している。
</t>
  </si>
  <si>
    <t xml:space="preserve">自身の持つ専門知識やスキル、習得したノウハウや経験を用いて、周囲へのサポートやメンバーへの具体的なアドバイス、業務支援をすることで、業務を通じた育成をサポートしている。
</t>
  </si>
  <si>
    <t>未経験分野の業務であっても、常に高い目標に挑戦し、主体的かつ具体的に活動し、目標達成につなげている。</t>
  </si>
  <si>
    <t xml:space="preserve">担当する業務において、タスクの優先付けと進捗管理を適切に行い、サービス品質やアウトプット納期を確保している。
</t>
  </si>
  <si>
    <t>自らの成長を意識して、役割に応じた目標を設定し取り組むと共に、担当業務に関連する最新知識や専門スキルを継続的に収集・加工・分析・整理し、業務に活用している。</t>
  </si>
  <si>
    <t>チャレンジングな環境においても冷静な対応を行い、職務を完遂する為に必要な考えや前向きな気持ちで行動している。</t>
  </si>
  <si>
    <t>法律、服務規律を遵守し、公正に職務を行うと共に、高い倫理観や社会における道徳観および自身の信念、価値観に基き、誠実な行動をとっている。</t>
  </si>
  <si>
    <t>自部門のサービス・業務に対し、業務レベルでの理解があり、関連する最新の業界動向や顧客情報、競合他社情報などを幅広く収集して、業務に活用している。</t>
  </si>
  <si>
    <t>評価シート（契約社員用）</t>
    <rPh sb="0" eb="2">
      <t>ヒョウカ</t>
    </rPh>
    <rPh sb="6" eb="8">
      <t>ケイヤク</t>
    </rPh>
    <rPh sb="8" eb="10">
      <t>シャイン</t>
    </rPh>
    <rPh sb="10" eb="11">
      <t>ヨウ</t>
    </rPh>
    <phoneticPr fontId="1"/>
  </si>
  <si>
    <t>各人の考えや立場を尊重しながらチームの一員として建設的なコミュニケーションを図りながら、自身の役割を果たすと共に、メンバーが互いに協力し合えるよう、積極的に周囲がサポートしやすい土壌を形成している。</t>
    <phoneticPr fontId="1"/>
  </si>
  <si>
    <t>自身の領域や能力では足りないものに対し、必要時には周囲や上位者の支援を仰ぎ、社内外の情報リソースや社内の人脈によるネットワーク等も有効活用しながら目標達成に向け取り組んでいる。</t>
    <phoneticPr fontId="1"/>
  </si>
  <si>
    <t>新規取り組みの実行</t>
    <phoneticPr fontId="1"/>
  </si>
  <si>
    <t>○○業務効率化</t>
    <phoneticPr fontId="1"/>
  </si>
  <si>
    <t>○○領域の理解</t>
    <phoneticPr fontId="1"/>
  </si>
  <si>
    <t>XXX</t>
  </si>
  <si>
    <t>××の課題解決</t>
    <phoneticPr fontId="1"/>
  </si>
  <si>
    <t>工数○時間削減</t>
    <phoneticPr fontId="1"/>
  </si>
  <si>
    <t>○○業務について、他者に説明できるようになる</t>
    <rPh sb="9" eb="11">
      <t>タシャ</t>
    </rPh>
    <phoneticPr fontId="1"/>
  </si>
  <si>
    <t>XXXXXXXXXXXXXXXXXXXXXX</t>
    <phoneticPr fontId="1"/>
  </si>
  <si>
    <t>■行動評価項目</t>
    <rPh sb="1" eb="3">
      <t>コウドウ</t>
    </rPh>
    <rPh sb="3" eb="5">
      <t>ヒョウカ</t>
    </rPh>
    <rPh sb="5" eb="7">
      <t>コウモク</t>
    </rPh>
    <phoneticPr fontId="1"/>
  </si>
  <si>
    <t>項目名</t>
  </si>
  <si>
    <t>行動評価項目 / 階層別標準行動</t>
    <rPh sb="0" eb="2">
      <t>コウドウ</t>
    </rPh>
    <rPh sb="2" eb="4">
      <t>ヒョウカ</t>
    </rPh>
    <rPh sb="4" eb="6">
      <t>コウモク</t>
    </rPh>
    <rPh sb="9" eb="11">
      <t>カイソウ</t>
    </rPh>
    <rPh sb="11" eb="12">
      <t>ベツ</t>
    </rPh>
    <rPh sb="12" eb="14">
      <t>ヒョウジュン</t>
    </rPh>
    <rPh sb="14" eb="16">
      <t>コウドウ</t>
    </rPh>
    <phoneticPr fontId="1"/>
  </si>
  <si>
    <t>役割区分</t>
    <rPh sb="0" eb="2">
      <t>ヤクワリ</t>
    </rPh>
    <rPh sb="2" eb="4">
      <t>クブン</t>
    </rPh>
    <phoneticPr fontId="5"/>
  </si>
  <si>
    <t>メンバー</t>
    <phoneticPr fontId="1"/>
  </si>
  <si>
    <t>リーダー/チーフ/SV</t>
    <phoneticPr fontId="1"/>
  </si>
  <si>
    <t>メンバー（等級1相当）</t>
    <rPh sb="5" eb="7">
      <t>トウキュウ</t>
    </rPh>
    <rPh sb="8" eb="10">
      <t>ソウトウ</t>
    </rPh>
    <phoneticPr fontId="1"/>
  </si>
  <si>
    <t>リーダー/チーフ/SV（等級2,3相当）</t>
    <rPh sb="12" eb="14">
      <t>トウキュウ</t>
    </rPh>
    <rPh sb="17" eb="19">
      <t>ソウトウ</t>
    </rPh>
    <phoneticPr fontId="1"/>
  </si>
  <si>
    <t>マネージャー（等級4,5相当）</t>
    <phoneticPr fontId="1"/>
  </si>
  <si>
    <t>年俸相当</t>
    <rPh sb="0" eb="2">
      <t>ネンポウ</t>
    </rPh>
    <rPh sb="2" eb="4">
      <t>ソウトウ</t>
    </rPh>
    <phoneticPr fontId="1"/>
  </si>
  <si>
    <t>マネジャー</t>
    <phoneticPr fontId="1"/>
  </si>
  <si>
    <t>リーダー/チーフ/SV</t>
  </si>
  <si>
    <t>事業所のTCIP</t>
    <rPh sb="0" eb="3">
      <t>ジギョウショ</t>
    </rPh>
    <phoneticPr fontId="1"/>
  </si>
  <si>
    <t>事業所のTCIP</t>
    <rPh sb="0" eb="3">
      <t>ジギョウショ</t>
    </rPh>
    <phoneticPr fontId="1"/>
  </si>
  <si>
    <t>T（Trust）信頼</t>
    <rPh sb="8" eb="10">
      <t>シンライ</t>
    </rPh>
    <phoneticPr fontId="1"/>
  </si>
  <si>
    <t>C（Contribution）貢献</t>
    <rPh sb="15" eb="17">
      <t>コウケン</t>
    </rPh>
    <phoneticPr fontId="1"/>
  </si>
  <si>
    <t>I（Improvement）成長</t>
    <rPh sb="14" eb="16">
      <t>セイチョウ</t>
    </rPh>
    <phoneticPr fontId="1"/>
  </si>
  <si>
    <t>P（People）ヒト</t>
  </si>
  <si>
    <t>P（People）ヒト</t>
    <phoneticPr fontId="1"/>
  </si>
  <si>
    <t>-</t>
  </si>
  <si>
    <t>常に顧客視点で物事を考え、お客様のニーズを正確に把握し、それを最大限に満たすことを最優先に業務に取り組む。</t>
    <phoneticPr fontId="1"/>
  </si>
  <si>
    <t>理論や知識だけではなく、現場やお客様との直接のコミュニケーションを重視して業務を行い、信頼関係を構築する。</t>
    <phoneticPr fontId="1"/>
  </si>
  <si>
    <t>常に高い目標を掲げて、新たな仕事や課題に挑戦し、自らが主体となって大きな成果と変革につなげている。</t>
    <phoneticPr fontId="1"/>
  </si>
  <si>
    <t>個人の考えや意見を尊重し、チームメンバーが互いに協力し合えるよう、自ら積極的に周囲をサポートし、他組織との調整においても互いの合意点を導くよう働き掛ける。</t>
    <phoneticPr fontId="1"/>
  </si>
  <si>
    <t>変化に対する期待行動</t>
  </si>
  <si>
    <t>情報収集</t>
  </si>
  <si>
    <t>情報リソースやルートを拡げて、必要な情報を幅広く収集し、その有用性を見極めて業務に活用する。</t>
  </si>
  <si>
    <t>自部門のサービス・業務に対し、業務レベルでの理解があり、関連する最新の業界動向や顧客情報、競合他社情報などを幅広く収集して、業務に活用している。</t>
    <rPh sb="0" eb="3">
      <t>ジブモン</t>
    </rPh>
    <rPh sb="9" eb="11">
      <t>ギョウム</t>
    </rPh>
    <rPh sb="12" eb="13">
      <t>タイ</t>
    </rPh>
    <rPh sb="15" eb="17">
      <t>ギョウム</t>
    </rPh>
    <rPh sb="22" eb="24">
      <t>リカイ</t>
    </rPh>
    <rPh sb="28" eb="30">
      <t>カンレン</t>
    </rPh>
    <rPh sb="32" eb="34">
      <t>サイシン</t>
    </rPh>
    <phoneticPr fontId="1"/>
  </si>
  <si>
    <t>課題認識・企画提案</t>
  </si>
  <si>
    <t>常に問題意識を持って、提供するサービスや業務プロセス、現状に対する課題を特定し、その解決・改善に向けた提案を行う。</t>
  </si>
  <si>
    <t>業務上の問題点を整理し、状況、状態を的確に把握すると共に、状況変化に応じて業務の優先順位をつけて、対応策を検討している。</t>
    <rPh sb="26" eb="27">
      <t>トモ</t>
    </rPh>
    <phoneticPr fontId="1"/>
  </si>
  <si>
    <t>適応・柔軟性</t>
  </si>
  <si>
    <t>取り巻く環境や状況の変化、または変化の予兆を正確に把握し、自身の考え方や業務（事業）の方針を柔軟に対応させている。</t>
    <phoneticPr fontId="1"/>
  </si>
  <si>
    <t>環境や状況の変化を察知し、上位方針や過去の事例に基づいて適切に判断している。</t>
    <rPh sb="9" eb="11">
      <t>サッチ</t>
    </rPh>
    <rPh sb="28" eb="30">
      <t>テキセツ</t>
    </rPh>
    <rPh sb="31" eb="33">
      <t>ハンダン</t>
    </rPh>
    <phoneticPr fontId="1"/>
  </si>
  <si>
    <t>信頼構築</t>
  </si>
  <si>
    <t>理論や知識だけではなく、現場やお客様との直接のコミュニケーションを重視して業務を行い、信頼関係を構築する。</t>
  </si>
  <si>
    <t>現場を大切にして、顧客の利益につながるよう、特に指示がなくとも求められている使命を果たすよう行動し、自身への信頼を獲得している</t>
    <rPh sb="31" eb="32">
      <t>モト</t>
    </rPh>
    <rPh sb="50" eb="52">
      <t>ジシン</t>
    </rPh>
    <rPh sb="54" eb="56">
      <t>シンライ</t>
    </rPh>
    <rPh sb="57" eb="59">
      <t>カクトク</t>
    </rPh>
    <phoneticPr fontId="1"/>
  </si>
  <si>
    <t>サービス改善・創意工夫</t>
  </si>
  <si>
    <t>お客様のより高い満足を実現するために、常に提供サービスや業務に工夫と改善、新たな提案を行うことで、品質の向上や効率化に取り組む。</t>
    <phoneticPr fontId="1"/>
  </si>
  <si>
    <r>
      <rPr>
        <sz val="10"/>
        <color theme="1"/>
        <rFont val="Meiryo UI"/>
        <family val="3"/>
        <charset val="128"/>
      </rPr>
      <t>顧客のより高い満足を実現するために、提供サービスや業務に創意工夫や改善を行ない、チーム全体で顧客の期待以上の品質向上や効率化に取り組んでいる。</t>
    </r>
    <rPh sb="0" eb="2">
      <t>コキャク</t>
    </rPh>
    <rPh sb="18" eb="20">
      <t>テイキョウ</t>
    </rPh>
    <rPh sb="25" eb="27">
      <t>ギョウム</t>
    </rPh>
    <rPh sb="28" eb="30">
      <t>ソウイ</t>
    </rPh>
    <rPh sb="30" eb="32">
      <t>クフウ</t>
    </rPh>
    <rPh sb="33" eb="35">
      <t>カイゼン</t>
    </rPh>
    <rPh sb="36" eb="37">
      <t>オコ</t>
    </rPh>
    <rPh sb="63" eb="64">
      <t>ト</t>
    </rPh>
    <rPh sb="65" eb="66">
      <t>ク</t>
    </rPh>
    <phoneticPr fontId="1"/>
  </si>
  <si>
    <t>役割認識・リーダーシップ</t>
  </si>
  <si>
    <t>果たすべき役割を正確に認識し、上位方針の実践や組織目標の達成に貢献するよう、自発的・積極的に取り組み、組織の中でリーダーシップを発揮する。</t>
    <phoneticPr fontId="1"/>
  </si>
  <si>
    <t xml:space="preserve">組織目標や上位方針から、自身の果たすべき役割や責任を正しく認識し、迅速な行動・判断によってリーダーシップを発揮し、チームに貢献している。
</t>
    <rPh sb="36" eb="38">
      <t>コウドウ</t>
    </rPh>
    <rPh sb="61" eb="63">
      <t>コウケン</t>
    </rPh>
    <phoneticPr fontId="1"/>
  </si>
  <si>
    <t>組織･ネットワーク活用</t>
  </si>
  <si>
    <t>組織による目標達成を意識し、組織内の適切なリソース配分や社内外のネットワーク・リソースの活用によって、より大きな成果につなげる。</t>
    <phoneticPr fontId="1"/>
  </si>
  <si>
    <t xml:space="preserve">自身の領域や能力では足りないものに対し、必要時には周囲や上位者の支援を仰ぎ、社内外の情報リソースや社内の人脈によるネットワーク等も有効活用しながら目標達成に向け取り組んでいる。
</t>
    <rPh sb="42" eb="44">
      <t>ジョウホウ</t>
    </rPh>
    <rPh sb="49" eb="51">
      <t>シャナイ</t>
    </rPh>
    <rPh sb="52" eb="54">
      <t>ジンミャク</t>
    </rPh>
    <rPh sb="80" eb="81">
      <t>ト</t>
    </rPh>
    <rPh sb="82" eb="83">
      <t>ク</t>
    </rPh>
    <phoneticPr fontId="1"/>
  </si>
  <si>
    <t>人材育成</t>
  </si>
  <si>
    <t>成功事例やノウハウの共有、高度な専門知識やスキルの伝授、効果的な育成環境を作ることで、組織全体のスキルの底上げを行なう。</t>
    <rPh sb="43" eb="45">
      <t>ソシキ</t>
    </rPh>
    <rPh sb="45" eb="47">
      <t>ゼンタイ</t>
    </rPh>
    <rPh sb="52" eb="54">
      <t>ソコア</t>
    </rPh>
    <rPh sb="56" eb="57">
      <t>オコ</t>
    </rPh>
    <phoneticPr fontId="1"/>
  </si>
  <si>
    <r>
      <rPr>
        <sz val="10"/>
        <color theme="1"/>
        <rFont val="Meiryo UI"/>
        <family val="3"/>
        <charset val="128"/>
      </rPr>
      <t xml:space="preserve">自身の持つ専門知識やスキル、習得したノウハウや経験を用いて、周囲へのサポートやメンバーへの具体的なアドバイス、業務支援をすることで、業務を通じた育成をサポートしている。
</t>
    </r>
    <rPh sb="55" eb="57">
      <t>ギョウム</t>
    </rPh>
    <rPh sb="57" eb="59">
      <t>シエン</t>
    </rPh>
    <phoneticPr fontId="1"/>
  </si>
  <si>
    <t>タスク管理</t>
  </si>
  <si>
    <t>優先順位づけと進捗管理を適切に行うことで、計画的・効率的に業務を遂行する。</t>
    <phoneticPr fontId="1"/>
  </si>
  <si>
    <t xml:space="preserve">担当する業務において、タスクの優先付けと進捗管理を適切に行い、サービス品質やアウトプット納期を確保している。
</t>
    <rPh sb="15" eb="17">
      <t>ユウセン</t>
    </rPh>
    <rPh sb="17" eb="18">
      <t>ヅ</t>
    </rPh>
    <rPh sb="20" eb="22">
      <t>シンチョク</t>
    </rPh>
    <rPh sb="22" eb="24">
      <t>カンリ</t>
    </rPh>
    <rPh sb="25" eb="27">
      <t>テキセツ</t>
    </rPh>
    <rPh sb="28" eb="29">
      <t>オコナ</t>
    </rPh>
    <rPh sb="35" eb="37">
      <t>ヒンシツ</t>
    </rPh>
    <phoneticPr fontId="1"/>
  </si>
  <si>
    <t>達成志向・責任感</t>
  </si>
  <si>
    <t>意欲と粘り強さ、トランスコスモス社員としての誇りと誠実さを持って全力で業務に取り組み、立てた目標や計画を責任を持って成し遂げる。</t>
    <phoneticPr fontId="1"/>
  </si>
  <si>
    <t>自己研鑽</t>
  </si>
  <si>
    <t>常に向上心を持って、必要な知識と専門スキルの習得を行い、自身の付加価値を高めて業務に活用する。</t>
    <rPh sb="42" eb="44">
      <t>カツヨウ</t>
    </rPh>
    <phoneticPr fontId="1"/>
  </si>
  <si>
    <t>自らの成長を意識して、役割に応じた目標を設定し取り組むと共に、担当業務に関連する最新知識や専門スキルを継続的に収集・加工・分析・整理し、業務に活用している。</t>
    <rPh sb="28" eb="29">
      <t>トモ</t>
    </rPh>
    <rPh sb="31" eb="33">
      <t>タントウ</t>
    </rPh>
    <rPh sb="40" eb="42">
      <t>サイシン</t>
    </rPh>
    <rPh sb="42" eb="44">
      <t>チシキ</t>
    </rPh>
    <rPh sb="45" eb="47">
      <t>センモン</t>
    </rPh>
    <rPh sb="51" eb="54">
      <t>ケイゾクテキ</t>
    </rPh>
    <rPh sb="68" eb="70">
      <t>ギョウム</t>
    </rPh>
    <phoneticPr fontId="1"/>
  </si>
  <si>
    <t>ストレスマネジメント</t>
  </si>
  <si>
    <t>自身に関わる批判的な意見に対しても、冷静に対処し、職務を完遂する為に必要な考えや前向きな気持ちのもと行動する。</t>
    <rPh sb="0" eb="2">
      <t>ジシン</t>
    </rPh>
    <rPh sb="13" eb="14">
      <t>タイ</t>
    </rPh>
    <phoneticPr fontId="1"/>
  </si>
  <si>
    <t>チャレンジングな環境においても冷静な対応を行い、職務を完遂する為に必要な考えや前向きな気持ちで行動している。</t>
    <rPh sb="8" eb="10">
      <t>カンキョウ</t>
    </rPh>
    <rPh sb="15" eb="17">
      <t>レイセイ</t>
    </rPh>
    <rPh sb="18" eb="20">
      <t>タイオウ</t>
    </rPh>
    <rPh sb="21" eb="22">
      <t>オコナ</t>
    </rPh>
    <rPh sb="24" eb="26">
      <t>ショクム</t>
    </rPh>
    <rPh sb="27" eb="29">
      <t>カンスイ</t>
    </rPh>
    <rPh sb="31" eb="32">
      <t>タメ</t>
    </rPh>
    <rPh sb="33" eb="35">
      <t>ヒツヨウ</t>
    </rPh>
    <rPh sb="36" eb="37">
      <t>カンガ</t>
    </rPh>
    <rPh sb="39" eb="41">
      <t>マエム</t>
    </rPh>
    <rPh sb="43" eb="45">
      <t>キモ</t>
    </rPh>
    <rPh sb="47" eb="49">
      <t>コウドウ</t>
    </rPh>
    <phoneticPr fontId="1"/>
  </si>
  <si>
    <t>顧客に対する期待行動</t>
    <rPh sb="0" eb="2">
      <t>コキャク</t>
    </rPh>
    <rPh sb="3" eb="4">
      <t>タイ</t>
    </rPh>
    <rPh sb="6" eb="8">
      <t>キタイ</t>
    </rPh>
    <rPh sb="8" eb="10">
      <t>コウドウ</t>
    </rPh>
    <phoneticPr fontId="1"/>
  </si>
  <si>
    <t>組織に対する期待行動</t>
    <rPh sb="0" eb="2">
      <t>ソシキ</t>
    </rPh>
    <rPh sb="3" eb="4">
      <t>タイ</t>
    </rPh>
    <rPh sb="6" eb="8">
      <t>キタイ</t>
    </rPh>
    <rPh sb="8" eb="10">
      <t>コウドウ</t>
    </rPh>
    <phoneticPr fontId="1"/>
  </si>
  <si>
    <t>プロフェッショナルとしての期待行動</t>
    <rPh sb="13" eb="15">
      <t>キタイ</t>
    </rPh>
    <rPh sb="15" eb="17">
      <t>コウドウ</t>
    </rPh>
    <phoneticPr fontId="1"/>
  </si>
  <si>
    <t>変化に対する期待行動</t>
    <rPh sb="0" eb="2">
      <t>ヘンカ</t>
    </rPh>
    <rPh sb="3" eb="4">
      <t>タイ</t>
    </rPh>
    <rPh sb="6" eb="8">
      <t>キタイ</t>
    </rPh>
    <rPh sb="8" eb="10">
      <t>コウドウ</t>
    </rPh>
    <phoneticPr fontId="1"/>
  </si>
  <si>
    <t>下期</t>
  </si>
  <si>
    <t>K2505812</t>
    <phoneticPr fontId="1"/>
  </si>
  <si>
    <t>菅原 崇明</t>
    <rPh sb="0" eb="2">
      <t>スガワラ</t>
    </rPh>
    <rPh sb="3" eb="5">
      <t>タカアキ</t>
    </rPh>
    <phoneticPr fontId="1"/>
  </si>
  <si>
    <t>3月末</t>
    <rPh sb="1" eb="2">
      <t>ガツ</t>
    </rPh>
    <rPh sb="2" eb="3">
      <t>マツ</t>
    </rPh>
    <phoneticPr fontId="1"/>
  </si>
  <si>
    <t>トラブル防止</t>
    <rPh sb="4" eb="6">
      <t>ボウシ</t>
    </rPh>
    <phoneticPr fontId="1"/>
  </si>
  <si>
    <t>CX事業統括　デジタルカスタマーコミュニケーション総括　東北サービス統括部 三課　NGH</t>
    <phoneticPr fontId="1"/>
  </si>
  <si>
    <t>重度・中重度・中度・軽度
4大トラブル0件</t>
    <phoneticPr fontId="1"/>
  </si>
  <si>
    <t>離職率</t>
    <rPh sb="0" eb="3">
      <t>リショクリツ</t>
    </rPh>
    <phoneticPr fontId="1"/>
  </si>
  <si>
    <t>メンバーの育成・指導</t>
    <rPh sb="5" eb="7">
      <t>イクセイ</t>
    </rPh>
    <rPh sb="8" eb="10">
      <t>シドウ</t>
    </rPh>
    <phoneticPr fontId="1"/>
  </si>
  <si>
    <t>通り一辺倒な質疑応答ではなく対話者の状況を正しくヒアリングし、ひとりひとりの状況に合わせた案内を行います</t>
    <phoneticPr fontId="1"/>
  </si>
  <si>
    <t>変化していく環境にあわせプロフェッショナルとして「よりよい案内とは？」を考え成長していきます</t>
    <phoneticPr fontId="1"/>
  </si>
  <si>
    <t xml:space="preserve">対話者の方への配慮を第一に、わかりやすい速度・表現での案内とともに人ならではの対話を行います </t>
    <phoneticPr fontId="1"/>
  </si>
  <si>
    <t>12月末</t>
    <rPh sb="2" eb="3">
      <t>ガツ</t>
    </rPh>
    <rPh sb="3" eb="4">
      <t>マツ</t>
    </rPh>
    <phoneticPr fontId="1"/>
  </si>
  <si>
    <t>外部研修2件受講</t>
    <rPh sb="0" eb="4">
      <t>ガイブケンシュウ</t>
    </rPh>
    <rPh sb="5" eb="6">
      <t>ケン</t>
    </rPh>
    <rPh sb="6" eb="8">
      <t>ジュコウ</t>
    </rPh>
    <phoneticPr fontId="1"/>
  </si>
  <si>
    <t>・ランダムで1日2～3名のリアモニを実施
・応対品質チェックフォームを活用し、現場状況をみてFBまで実施する
・自己学習の時間を確保する</t>
    <phoneticPr fontId="1"/>
  </si>
  <si>
    <t>対話者の方のお困りごとがなぜ起こったのか？を汲み取り改善につながる声を拾います</t>
    <phoneticPr fontId="1"/>
  </si>
  <si>
    <t>研修時間/受講数</t>
    <rPh sb="0" eb="4">
      <t>ケンシュウジカン</t>
    </rPh>
    <rPh sb="5" eb="8">
      <t>ジュコウスウ</t>
    </rPh>
    <phoneticPr fontId="1"/>
  </si>
  <si>
    <t>資格取得</t>
    <rPh sb="0" eb="2">
      <t>シカク</t>
    </rPh>
    <rPh sb="2" eb="4">
      <t>シュトク</t>
    </rPh>
    <phoneticPr fontId="1"/>
  </si>
  <si>
    <t>・MCF認定の取得
・ケーブル認定の取得</t>
    <phoneticPr fontId="1"/>
  </si>
  <si>
    <t>・勤怠の乱れや、長時間対応が発生したCMに対し、メンタルケアの面談を実施する。
・面談の結果をSVへ報告し、CMの不満点を改善するための施策を考える。
・SVへ報告後の状況を含め、該当のCMへ経過確認の面談を実施する。</t>
    <phoneticPr fontId="1"/>
  </si>
  <si>
    <t>村越 弓子</t>
    <rPh sb="0" eb="2">
      <t>ムラコシ</t>
    </rPh>
    <rPh sb="3" eb="5">
      <t>ユミコ</t>
    </rPh>
    <phoneticPr fontId="1"/>
  </si>
  <si>
    <t>k1811087</t>
    <phoneticPr fontId="1"/>
  </si>
  <si>
    <t>・スプリングの取り扱いについて、バッグではなくセキュリティカード側に取付されていないか日頃から目を配り、セキュリティカードについていることを確認した場合は、即時バッグへ取付させる
・セキュリティカードの紛失や盗難、誤廃棄を防止するために月一で取り扱いに関する確認を実施</t>
    <rPh sb="7" eb="8">
      <t>ト</t>
    </rPh>
    <rPh sb="9" eb="10">
      <t>アツカ</t>
    </rPh>
    <rPh sb="32" eb="33">
      <t>ガワ</t>
    </rPh>
    <rPh sb="34" eb="36">
      <t>トリツケ</t>
    </rPh>
    <rPh sb="43" eb="45">
      <t>ヒゴロ</t>
    </rPh>
    <rPh sb="47" eb="48">
      <t>メ</t>
    </rPh>
    <rPh sb="49" eb="50">
      <t>クバ</t>
    </rPh>
    <rPh sb="70" eb="72">
      <t>カクニン</t>
    </rPh>
    <rPh sb="74" eb="76">
      <t>バアイ</t>
    </rPh>
    <rPh sb="78" eb="80">
      <t>ソクジ</t>
    </rPh>
    <rPh sb="84" eb="86">
      <t>トリツケ</t>
    </rPh>
    <rPh sb="112" eb="114">
      <t>ボウシ</t>
    </rPh>
    <rPh sb="122" eb="123">
      <t>ト</t>
    </rPh>
    <rPh sb="124" eb="125">
      <t>アツカ</t>
    </rPh>
    <rPh sb="127" eb="128">
      <t>カン</t>
    </rPh>
    <phoneticPr fontId="1"/>
  </si>
  <si>
    <t>・SVへの昇格を目指し、現場を円滑に稼働させるためのスキルや、CMのスキルアップをサポートに繋げられる研修の申し込みと受講を実施する</t>
    <rPh sb="5" eb="7">
      <t>ショウカク</t>
    </rPh>
    <rPh sb="8" eb="10">
      <t>メザ</t>
    </rPh>
    <rPh sb="12" eb="14">
      <t>ゲンバ</t>
    </rPh>
    <rPh sb="15" eb="17">
      <t>エンカツ</t>
    </rPh>
    <rPh sb="18" eb="20">
      <t>カドウ</t>
    </rPh>
    <rPh sb="46" eb="47">
      <t>ツナ</t>
    </rPh>
    <rPh sb="51" eb="53">
      <t>ケンシュウ</t>
    </rPh>
    <rPh sb="54" eb="55">
      <t>モウ</t>
    </rPh>
    <rPh sb="56" eb="57">
      <t>コ</t>
    </rPh>
    <rPh sb="59" eb="61">
      <t>ジュコウ</t>
    </rPh>
    <rPh sb="62" eb="64">
      <t>ジッシ</t>
    </rPh>
    <phoneticPr fontId="1"/>
  </si>
  <si>
    <r>
      <t>11月から3月末まで各月の離職率を5</t>
    </r>
    <r>
      <rPr>
        <strike/>
        <sz val="10"/>
        <color theme="1"/>
        <rFont val="Meiryo UI"/>
        <family val="3"/>
        <charset val="128"/>
      </rPr>
      <t>％</t>
    </r>
    <r>
      <rPr>
        <sz val="10"/>
        <color theme="1"/>
        <rFont val="Meiryo UI"/>
        <family val="3"/>
        <charset val="128"/>
      </rPr>
      <t>以下にする</t>
    </r>
    <rPh sb="6" eb="8">
      <t>ガツマツ</t>
    </rPh>
    <rPh sb="10" eb="12">
      <t>カクツキ</t>
    </rPh>
    <rPh sb="19" eb="21">
      <t>イカ</t>
    </rPh>
    <phoneticPr fontId="1"/>
  </si>
  <si>
    <t>ATTを各月で最低30秒短縮し、3月末時点で10分にする</t>
    <rPh sb="4" eb="5">
      <t>カク</t>
    </rPh>
    <rPh sb="5" eb="6">
      <t>ツキ</t>
    </rPh>
    <rPh sb="7" eb="9">
      <t>サイテイ</t>
    </rPh>
    <rPh sb="11" eb="12">
      <t>ビョウ</t>
    </rPh>
    <rPh sb="12" eb="14">
      <t>タンシュク</t>
    </rPh>
    <rPh sb="17" eb="18">
      <t>ガツ</t>
    </rPh>
    <rPh sb="18" eb="19">
      <t>マツ</t>
    </rPh>
    <rPh sb="19" eb="21">
      <t>ジテン</t>
    </rPh>
    <rPh sb="24" eb="25">
      <t>フン</t>
    </rPh>
    <phoneticPr fontId="1"/>
  </si>
  <si>
    <t>・ATTが超過傾向にあるCMを５名選出
・要因の分析や実際にATTが短いCMからの意見を基にその対策を考え、対象者へ共有
・施策がATT短縮へ繋がった場合は、全Mへ共有
・ATT10分を超えたコールはリアモニし、ATT短縮を図る</t>
    <rPh sb="5" eb="9">
      <t>チョウカケイコウ</t>
    </rPh>
    <rPh sb="58" eb="60">
      <t>キョウユウ</t>
    </rPh>
    <rPh sb="62" eb="64">
      <t>シサク</t>
    </rPh>
    <rPh sb="68" eb="70">
      <t>タンシュク</t>
    </rPh>
    <rPh sb="71" eb="72">
      <t>ツナ</t>
    </rPh>
    <rPh sb="75" eb="77">
      <t>バアイ</t>
    </rPh>
    <rPh sb="79" eb="80">
      <t>ゼン</t>
    </rPh>
    <rPh sb="82" eb="84">
      <t>キョウユウ</t>
    </rPh>
    <rPh sb="91" eb="92">
      <t>フン</t>
    </rPh>
    <rPh sb="93" eb="94">
      <t>コ</t>
    </rPh>
    <rPh sb="109" eb="111">
      <t>タンシュク</t>
    </rPh>
    <rPh sb="112" eb="113">
      <t>ハカ</t>
    </rPh>
    <phoneticPr fontId="1"/>
  </si>
  <si>
    <t>研修室</t>
    <rPh sb="0" eb="3">
      <t>ケンシュウシツ</t>
    </rPh>
    <phoneticPr fontId="1"/>
  </si>
  <si>
    <t>DEC</t>
  </si>
  <si>
    <t>MCF認定：未
ケーブル認定：4月合格
進捗管理が甘く、自己学習の時間を確保できていなかった。</t>
    <rPh sb="3" eb="5">
      <t>ニンテイ</t>
    </rPh>
    <rPh sb="6" eb="7">
      <t>ミ</t>
    </rPh>
    <rPh sb="12" eb="14">
      <t>ニンテイ</t>
    </rPh>
    <rPh sb="16" eb="17">
      <t>ガツ</t>
    </rPh>
    <rPh sb="17" eb="19">
      <t>ゴウカク</t>
    </rPh>
    <rPh sb="29" eb="33">
      <t>ジコガクシュウ</t>
    </rPh>
    <rPh sb="34" eb="36">
      <t>ジカン</t>
    </rPh>
    <rPh sb="37" eb="39">
      <t>カクホ</t>
    </rPh>
    <phoneticPr fontId="1"/>
  </si>
  <si>
    <t>マンスリーチェックの時の声掛けと目視確認の実施にて未然に防止し、トラブル発生0件達成。</t>
    <rPh sb="10" eb="11">
      <t>ジ</t>
    </rPh>
    <rPh sb="12" eb="14">
      <t>コエガ</t>
    </rPh>
    <rPh sb="16" eb="18">
      <t>モクシ</t>
    </rPh>
    <rPh sb="18" eb="20">
      <t>カクニン</t>
    </rPh>
    <rPh sb="21" eb="23">
      <t>ジッシ</t>
    </rPh>
    <rPh sb="25" eb="27">
      <t>ミゼン</t>
    </rPh>
    <rPh sb="28" eb="30">
      <t>ボウシ</t>
    </rPh>
    <phoneticPr fontId="1"/>
  </si>
  <si>
    <t>異動/ヘルプ 19名
契約満了 24名
中途退職 24名
在籍 43名
となり目標未達。</t>
    <rPh sb="9" eb="10">
      <t>メイ</t>
    </rPh>
    <rPh sb="11" eb="15">
      <t>ケイヤクマンリョウ</t>
    </rPh>
    <rPh sb="18" eb="19">
      <t>メイ</t>
    </rPh>
    <rPh sb="20" eb="24">
      <t>チュウトタイショク</t>
    </rPh>
    <rPh sb="27" eb="28">
      <t>メイ</t>
    </rPh>
    <rPh sb="29" eb="31">
      <t>ザイセキ</t>
    </rPh>
    <rPh sb="34" eb="35">
      <t>メイ</t>
    </rPh>
    <rPh sb="39" eb="41">
      <t>モクヒョウ</t>
    </rPh>
    <rPh sb="41" eb="43">
      <t>ミタツ</t>
    </rPh>
    <phoneticPr fontId="1"/>
  </si>
  <si>
    <t>外部研修受講0件のため未達。</t>
    <rPh sb="0" eb="4">
      <t>ガイブケンシュウ</t>
    </rPh>
    <rPh sb="4" eb="6">
      <t>ジュコウ</t>
    </rPh>
    <rPh sb="7" eb="8">
      <t>ケン</t>
    </rPh>
    <rPh sb="11" eb="13">
      <t>ミタツ</t>
    </rPh>
    <phoneticPr fontId="1"/>
  </si>
  <si>
    <t>11月 15分05秒
12月 14分00秒（-65秒）
1月 12分52秒（-68秒）
2月 13分05秒（+13秒）
3月 12分53秒（-12秒）
各月の目標としては未達だが、
施策の実施にて11月のATTから-132秒の短縮に成功した。</t>
    <rPh sb="17" eb="18">
      <t>フン</t>
    </rPh>
    <rPh sb="20" eb="21">
      <t>ビョウ</t>
    </rPh>
    <rPh sb="25" eb="26">
      <t>ビョウ</t>
    </rPh>
    <rPh sb="52" eb="53">
      <t>ガツ</t>
    </rPh>
    <rPh sb="57" eb="58">
      <t>ビョウ</t>
    </rPh>
    <rPh sb="64" eb="65">
      <t>ビョウ</t>
    </rPh>
    <rPh sb="72" eb="73">
      <t>ビョウ</t>
    </rPh>
    <rPh sb="76" eb="78">
      <t>カクツキ</t>
    </rPh>
    <rPh sb="79" eb="81">
      <t>モクヒョウ</t>
    </rPh>
    <rPh sb="94" eb="96">
      <t>ジッシ</t>
    </rPh>
    <phoneticPr fontId="1"/>
  </si>
  <si>
    <t>自身がお客様対応をしているという前提のもと、問題点の整理や知識向上に勤めCMのエスカレーション対応を行うことで、意識的にお客様とCM双方へのわかりやすい説明ができていたと感じる。</t>
    <rPh sb="0" eb="2">
      <t>ジシン</t>
    </rPh>
    <rPh sb="4" eb="6">
      <t>キャクサマ</t>
    </rPh>
    <rPh sb="6" eb="8">
      <t>タイオウ</t>
    </rPh>
    <rPh sb="16" eb="18">
      <t>ゼンテイ</t>
    </rPh>
    <rPh sb="22" eb="25">
      <t>モンダイテン</t>
    </rPh>
    <rPh sb="26" eb="28">
      <t>セイリ</t>
    </rPh>
    <rPh sb="29" eb="33">
      <t>チシキコウジョウ</t>
    </rPh>
    <rPh sb="34" eb="35">
      <t>ツト</t>
    </rPh>
    <rPh sb="45" eb="47">
      <t>タイオウ</t>
    </rPh>
    <rPh sb="48" eb="49">
      <t>オコナ</t>
    </rPh>
    <rPh sb="56" eb="59">
      <t>イシキテキ</t>
    </rPh>
    <rPh sb="60" eb="62">
      <t>ソウホウ</t>
    </rPh>
    <rPh sb="70" eb="72">
      <t>セツメイ</t>
    </rPh>
    <rPh sb="85" eb="86">
      <t>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</si>
</sst>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0.0;[Red]\-#,##0.0"/>
    <numFmt numFmtId="178" formatCode="General&quot;年&quot;&quot;度&quot;"/>
  </numFmts>
  <fonts count="26" x14ac:knownFonts="1">
    <font>
      <sz val="11"/>
      <color theme="1"/>
      <name val="ＭＳ Ｐゴシック"/>
      <family val="2"/>
      <charset val="128"/>
      <scheme val="minor"/>
    </font>
    <font>
      <sz val="6"/>
      <name val="ＭＳ Ｐゴシック"/>
      <family val="2"/>
      <charset val="128"/>
      <scheme val="minor"/>
    </font>
    <font>
      <sz val="11"/>
      <color theme="1"/>
      <name val="Meiryo UI"/>
      <family val="3"/>
      <charset val="128"/>
    </font>
    <font>
      <sz val="10"/>
      <color theme="1"/>
      <name val="Meiryo UI"/>
      <family val="3"/>
      <charset val="128"/>
    </font>
    <font>
      <sz val="11"/>
      <name val="ＭＳ Ｐゴシック"/>
      <family val="3"/>
      <charset val="128"/>
    </font>
    <font>
      <sz val="6"/>
      <name val="ＭＳ Ｐゴシック"/>
      <family val="3"/>
      <charset val="128"/>
    </font>
    <font>
      <sz val="10"/>
      <name val="ＭＳ Ｐゴシック"/>
      <family val="3"/>
      <charset val="128"/>
    </font>
    <font>
      <sz val="11"/>
      <name val="Meiryo UI"/>
      <family val="3"/>
      <charset val="128"/>
    </font>
    <font>
      <b/>
      <sz val="11"/>
      <name val="Meiryo UI"/>
      <family val="3"/>
      <charset val="128"/>
    </font>
    <font>
      <sz val="10"/>
      <color rgb="FF000099"/>
      <name val="Meiryo UI"/>
      <family val="3"/>
      <charset val="128"/>
    </font>
    <font>
      <sz val="11"/>
      <color theme="1"/>
      <name val="ＭＳ Ｐゴシック"/>
      <family val="2"/>
      <charset val="128"/>
      <scheme val="minor"/>
    </font>
    <font>
      <sz val="10"/>
      <name val="Meiryo UI"/>
      <family val="3"/>
      <charset val="128"/>
    </font>
    <font>
      <sz val="10"/>
      <color theme="0"/>
      <name val="Meiryo UI"/>
      <family val="3"/>
      <charset val="128"/>
    </font>
    <font>
      <sz val="10"/>
      <color rgb="FF000000"/>
      <name val="Meiryo UI"/>
      <family val="3"/>
      <charset val="128"/>
    </font>
    <font>
      <sz val="10"/>
      <color rgb="FF181818"/>
      <name val="Meiryo UI"/>
      <family val="3"/>
      <charset val="128"/>
    </font>
    <font>
      <b/>
      <sz val="10"/>
      <color rgb="FF181818"/>
      <name val="Meiryo UI"/>
      <family val="3"/>
      <charset val="128"/>
    </font>
    <font>
      <sz val="6"/>
      <color rgb="FF000000"/>
      <name val="Meiryo UI"/>
      <family val="3"/>
      <charset val="128"/>
    </font>
    <font>
      <sz val="9"/>
      <color theme="1"/>
      <name val="Meiryo UI"/>
      <family val="3"/>
      <charset val="128"/>
    </font>
    <font>
      <b/>
      <sz val="12"/>
      <color theme="1"/>
      <name val="Meiryo UI"/>
      <family val="3"/>
      <charset val="128"/>
    </font>
    <font>
      <b/>
      <sz val="12"/>
      <color theme="0"/>
      <name val="Meiryo UI"/>
      <family val="3"/>
      <charset val="128"/>
    </font>
    <font>
      <sz val="12"/>
      <color theme="0"/>
      <name val="Meiryo UI"/>
      <family val="3"/>
      <charset val="128"/>
    </font>
    <font>
      <sz val="10"/>
      <color rgb="FF0000CC"/>
      <name val="Meiryo UI"/>
      <family val="3"/>
      <charset val="128"/>
    </font>
    <font>
      <sz val="10"/>
      <color theme="1"/>
      <name val="Meiryo UI"/>
      <family val="2"/>
      <charset val="128"/>
    </font>
    <font>
      <b/>
      <sz val="10"/>
      <color theme="1"/>
      <name val="Meiryo UI"/>
      <family val="3"/>
      <charset val="128"/>
    </font>
    <font>
      <b/>
      <sz val="10"/>
      <color theme="0"/>
      <name val="Meiryo UI"/>
      <family val="3"/>
      <charset val="128"/>
    </font>
    <font>
      <strike/>
      <sz val="10"/>
      <color theme="1"/>
      <name val="Meiryo UI"/>
      <family val="3"/>
      <charset val="128"/>
    </font>
  </fonts>
  <fills count="13">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1"/>
        <bgColor indexed="64"/>
      </patternFill>
    </fill>
    <fill>
      <patternFill patternType="solid">
        <fgColor rgb="FFBFBFBF"/>
        <bgColor indexed="64"/>
      </patternFill>
    </fill>
    <fill>
      <patternFill patternType="solid">
        <fgColor theme="9" tint="0.59999389629810485"/>
        <bgColor indexed="64"/>
      </patternFill>
    </fill>
    <fill>
      <patternFill patternType="solid">
        <fgColor rgb="FFCCFFFF"/>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hair">
        <color indexed="64"/>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left style="hair">
        <color auto="1"/>
      </left>
      <right style="thin">
        <color indexed="64"/>
      </right>
      <top style="thin">
        <color indexed="64"/>
      </top>
      <bottom style="thin">
        <color auto="1"/>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rgb="FF000000"/>
      </right>
      <top style="thin">
        <color indexed="64"/>
      </top>
      <bottom style="hair">
        <color rgb="FF000000"/>
      </bottom>
      <diagonal/>
    </border>
    <border>
      <left style="thin">
        <color rgb="FF000000"/>
      </left>
      <right style="thin">
        <color rgb="FF000000"/>
      </right>
      <top style="thin">
        <color indexed="64"/>
      </top>
      <bottom style="hair">
        <color rgb="FF000000"/>
      </bottom>
      <diagonal/>
    </border>
    <border>
      <left style="thin">
        <color rgb="FF000000"/>
      </left>
      <right style="hair">
        <color indexed="64"/>
      </right>
      <top style="thin">
        <color indexed="64"/>
      </top>
      <bottom style="hair">
        <color rgb="FF000000"/>
      </bottom>
      <diagonal/>
    </border>
    <border>
      <left style="hair">
        <color indexed="64"/>
      </left>
      <right style="hair">
        <color indexed="64"/>
      </right>
      <top style="thin">
        <color indexed="64"/>
      </top>
      <bottom style="hair">
        <color rgb="FF000000"/>
      </bottom>
      <diagonal/>
    </border>
    <border>
      <left style="hair">
        <color indexed="64"/>
      </left>
      <right style="thin">
        <color indexed="64"/>
      </right>
      <top style="thin">
        <color indexed="64"/>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thin">
        <color indexed="64"/>
      </bottom>
      <diagonal/>
    </border>
    <border>
      <left style="thin">
        <color rgb="FF000000"/>
      </left>
      <right style="thin">
        <color rgb="FF000000"/>
      </right>
      <top style="hair">
        <color rgb="FF000000"/>
      </top>
      <bottom style="thin">
        <color indexed="64"/>
      </bottom>
      <diagonal/>
    </border>
    <border>
      <left style="thin">
        <color rgb="FF000000"/>
      </left>
      <right style="hair">
        <color indexed="64"/>
      </right>
      <top style="hair">
        <color rgb="FF000000"/>
      </top>
      <bottom style="thin">
        <color indexed="64"/>
      </bottom>
      <diagonal/>
    </border>
    <border>
      <left style="hair">
        <color indexed="64"/>
      </left>
      <right style="hair">
        <color indexed="64"/>
      </right>
      <top style="hair">
        <color rgb="FF000000"/>
      </top>
      <bottom style="thin">
        <color indexed="64"/>
      </bottom>
      <diagonal/>
    </border>
    <border>
      <left style="hair">
        <color indexed="64"/>
      </left>
      <right style="thin">
        <color indexed="64"/>
      </right>
      <top style="hair">
        <color rgb="FF000000"/>
      </top>
      <bottom style="thin">
        <color indexed="64"/>
      </bottom>
      <diagonal/>
    </border>
    <border>
      <left style="thin">
        <color rgb="FF000000"/>
      </left>
      <right style="hair">
        <color indexed="64"/>
      </right>
      <top style="hair">
        <color rgb="FF000000"/>
      </top>
      <bottom style="hair">
        <color rgb="FF000000"/>
      </bottom>
      <diagonal/>
    </border>
    <border>
      <left style="hair">
        <color indexed="64"/>
      </left>
      <right style="hair">
        <color indexed="64"/>
      </right>
      <top style="hair">
        <color rgb="FF000000"/>
      </top>
      <bottom style="hair">
        <color rgb="FF000000"/>
      </bottom>
      <diagonal/>
    </border>
    <border>
      <left style="hair">
        <color indexed="64"/>
      </left>
      <right style="thin">
        <color indexed="64"/>
      </right>
      <top style="hair">
        <color rgb="FF000000"/>
      </top>
      <bottom style="hair">
        <color rgb="FF000000"/>
      </bottom>
      <diagonal/>
    </border>
    <border>
      <left style="thin">
        <color rgb="FF000000"/>
      </left>
      <right style="hair">
        <color indexed="64"/>
      </right>
      <top style="hair">
        <color rgb="FF000000"/>
      </top>
      <bottom/>
      <diagonal/>
    </border>
    <border>
      <left style="hair">
        <color indexed="64"/>
      </left>
      <right style="hair">
        <color indexed="64"/>
      </right>
      <top style="hair">
        <color rgb="FF000000"/>
      </top>
      <bottom/>
      <diagonal/>
    </border>
    <border>
      <left style="hair">
        <color indexed="64"/>
      </left>
      <right style="thin">
        <color indexed="64"/>
      </right>
      <top style="hair">
        <color rgb="FF000000"/>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top style="thin">
        <color indexed="64"/>
      </top>
      <bottom style="thin">
        <color auto="1"/>
      </bottom>
      <diagonal/>
    </border>
  </borders>
  <cellStyleXfs count="8">
    <xf numFmtId="0" fontId="0" fillId="0" borderId="0">
      <alignment vertical="center"/>
    </xf>
    <xf numFmtId="0" fontId="4" fillId="0" borderId="0">
      <alignment vertical="center"/>
    </xf>
    <xf numFmtId="9" fontId="6" fillId="0" borderId="0" applyFont="0" applyFill="0" applyBorder="0" applyAlignment="0" applyProtection="0">
      <alignment vertical="center"/>
    </xf>
    <xf numFmtId="0" fontId="6" fillId="0" borderId="0">
      <alignment vertical="center"/>
    </xf>
    <xf numFmtId="38"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0" fillId="0" borderId="0">
      <alignment vertical="center"/>
    </xf>
    <xf numFmtId="0" fontId="22" fillId="0" borderId="0">
      <alignment vertical="center"/>
    </xf>
  </cellStyleXfs>
  <cellXfs count="338">
    <xf numFmtId="0" fontId="0" fillId="0" borderId="0" xfId="0">
      <alignment vertical="center"/>
    </xf>
    <xf numFmtId="0" fontId="3" fillId="0" borderId="0" xfId="0" applyFont="1">
      <alignment vertical="center"/>
    </xf>
    <xf numFmtId="0" fontId="3" fillId="0" borderId="18" xfId="0" applyFont="1" applyBorder="1" applyAlignment="1">
      <alignment horizontal="center" vertical="center"/>
    </xf>
    <xf numFmtId="0" fontId="3" fillId="0" borderId="22" xfId="0" applyFont="1" applyBorder="1" applyAlignment="1">
      <alignment horizontal="center" vertical="center"/>
    </xf>
    <xf numFmtId="0" fontId="3" fillId="0" borderId="30" xfId="0" applyFont="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0" borderId="1" xfId="0" applyFont="1" applyBorder="1">
      <alignment vertical="center"/>
    </xf>
    <xf numFmtId="0" fontId="13" fillId="0" borderId="18" xfId="0" applyFont="1" applyBorder="1" applyAlignment="1">
      <alignment horizontal="center" vertical="center"/>
    </xf>
    <xf numFmtId="0" fontId="13" fillId="0" borderId="22" xfId="0" applyFont="1" applyBorder="1" applyAlignment="1">
      <alignment horizontal="center" vertical="center"/>
    </xf>
    <xf numFmtId="0" fontId="13" fillId="0" borderId="30" xfId="0" applyFont="1" applyBorder="1" applyAlignment="1">
      <alignment horizontal="center" vertical="center"/>
    </xf>
    <xf numFmtId="0" fontId="3" fillId="0" borderId="1" xfId="0" applyFont="1" applyBorder="1" applyAlignment="1">
      <alignment vertical="center" wrapText="1"/>
    </xf>
    <xf numFmtId="0" fontId="3" fillId="0" borderId="0" xfId="0" applyFont="1" applyProtection="1">
      <alignment vertical="center"/>
    </xf>
    <xf numFmtId="0" fontId="11" fillId="1" borderId="2" xfId="0" applyFont="1" applyFill="1" applyBorder="1" applyAlignment="1" applyProtection="1">
      <alignment vertical="center" shrinkToFit="1"/>
    </xf>
    <xf numFmtId="0" fontId="11" fillId="1" borderId="13" xfId="0" applyFont="1" applyFill="1" applyBorder="1" applyAlignment="1" applyProtection="1">
      <alignment vertical="center" shrinkToFit="1"/>
    </xf>
    <xf numFmtId="0" fontId="3" fillId="0" borderId="0" xfId="0" applyFont="1" applyAlignment="1" applyProtection="1">
      <alignment horizontal="center" vertical="center"/>
    </xf>
    <xf numFmtId="0" fontId="3" fillId="4" borderId="13" xfId="0" applyFont="1" applyFill="1" applyBorder="1" applyAlignment="1" applyProtection="1">
      <alignment horizontal="center" vertical="center"/>
    </xf>
    <xf numFmtId="0" fontId="12" fillId="6" borderId="0" xfId="0" applyFont="1" applyFill="1" applyAlignment="1" applyProtection="1">
      <alignment vertical="center"/>
    </xf>
    <xf numFmtId="0" fontId="12" fillId="6" borderId="0" xfId="0" applyFont="1" applyFill="1" applyAlignment="1" applyProtection="1">
      <alignment horizontal="center" vertical="center"/>
    </xf>
    <xf numFmtId="0" fontId="12" fillId="0" borderId="0" xfId="0" applyFont="1" applyFill="1" applyAlignment="1" applyProtection="1">
      <alignment vertical="center"/>
    </xf>
    <xf numFmtId="0" fontId="18" fillId="0" borderId="0" xfId="0" applyFont="1" applyProtection="1">
      <alignment vertical="center"/>
    </xf>
    <xf numFmtId="177" fontId="3" fillId="8" borderId="1" xfId="4" applyNumberFormat="1" applyFont="1" applyFill="1" applyBorder="1" applyAlignment="1" applyProtection="1">
      <alignment horizontal="center" vertical="center" wrapText="1"/>
    </xf>
    <xf numFmtId="0" fontId="3" fillId="4" borderId="1" xfId="0" applyFont="1" applyFill="1" applyBorder="1" applyAlignment="1" applyProtection="1">
      <alignment horizontal="center" vertical="center"/>
    </xf>
    <xf numFmtId="0" fontId="3" fillId="0" borderId="0" xfId="0" applyFont="1" applyAlignment="1" applyProtection="1">
      <alignment horizontal="right"/>
    </xf>
    <xf numFmtId="9" fontId="3" fillId="0" borderId="0" xfId="5" applyFont="1" applyAlignment="1" applyProtection="1">
      <alignment horizontal="center"/>
    </xf>
    <xf numFmtId="38" fontId="3" fillId="8" borderId="1" xfId="4" applyNumberFormat="1" applyFont="1" applyFill="1" applyBorder="1" applyAlignment="1" applyProtection="1">
      <alignment horizontal="center" vertical="center" wrapText="1"/>
    </xf>
    <xf numFmtId="0" fontId="3" fillId="0" borderId="0" xfId="0" applyFont="1" applyAlignment="1" applyProtection="1">
      <alignment vertical="center" wrapText="1"/>
    </xf>
    <xf numFmtId="0" fontId="2" fillId="5" borderId="5" xfId="0" applyFont="1" applyFill="1" applyBorder="1" applyAlignment="1" applyProtection="1">
      <alignment horizontal="center" vertical="center" shrinkToFit="1"/>
    </xf>
    <xf numFmtId="0" fontId="3" fillId="0" borderId="0" xfId="0" applyFont="1" applyFill="1" applyBorder="1" applyAlignment="1" applyProtection="1">
      <alignment vertical="center" wrapText="1"/>
    </xf>
    <xf numFmtId="0" fontId="3" fillId="0" borderId="0" xfId="0" applyFont="1" applyFill="1" applyBorder="1" applyAlignment="1" applyProtection="1">
      <alignment horizontal="left" vertical="top" wrapText="1"/>
    </xf>
    <xf numFmtId="0" fontId="3" fillId="0" borderId="0" xfId="0" applyFont="1" applyFill="1" applyBorder="1" applyAlignment="1" applyProtection="1">
      <alignment vertical="top" wrapText="1"/>
    </xf>
    <xf numFmtId="0" fontId="3" fillId="0" borderId="0" xfId="0" applyFont="1" applyFill="1" applyBorder="1" applyAlignment="1" applyProtection="1">
      <alignment horizontal="center" vertical="center" wrapText="1"/>
    </xf>
    <xf numFmtId="177" fontId="3" fillId="0" borderId="0" xfId="4" applyNumberFormat="1" applyFont="1" applyFill="1" applyBorder="1" applyAlignment="1" applyProtection="1">
      <alignment horizontal="center" vertical="center" wrapText="1"/>
    </xf>
    <xf numFmtId="9" fontId="9" fillId="0" borderId="0" xfId="0" applyNumberFormat="1" applyFont="1" applyAlignment="1" applyProtection="1">
      <alignment horizontal="center" vertical="top" shrinkToFit="1"/>
    </xf>
    <xf numFmtId="38" fontId="3" fillId="8" borderId="3" xfId="0" applyNumberFormat="1" applyFont="1" applyFill="1" applyBorder="1" applyAlignment="1" applyProtection="1">
      <alignment horizontal="center" vertical="center" wrapText="1"/>
    </xf>
    <xf numFmtId="0" fontId="16" fillId="7" borderId="34" xfId="0" applyFont="1" applyFill="1" applyBorder="1" applyAlignment="1" applyProtection="1">
      <alignment horizontal="left" vertical="center" wrapText="1" readingOrder="1"/>
    </xf>
    <xf numFmtId="0" fontId="13" fillId="0" borderId="1" xfId="0" applyFont="1" applyBorder="1" applyAlignment="1" applyProtection="1">
      <alignment horizontal="center" vertical="center" readingOrder="1"/>
    </xf>
    <xf numFmtId="0" fontId="14" fillId="0" borderId="1" xfId="0" applyFont="1" applyBorder="1" applyAlignment="1" applyProtection="1">
      <alignment horizontal="center" vertical="center" readingOrder="1"/>
    </xf>
    <xf numFmtId="0" fontId="13" fillId="0" borderId="2" xfId="0" applyFont="1" applyBorder="1" applyAlignment="1" applyProtection="1">
      <alignment horizontal="center" vertical="center" readingOrder="1"/>
    </xf>
    <xf numFmtId="0" fontId="15" fillId="3" borderId="1" xfId="0" applyFont="1" applyFill="1" applyBorder="1" applyAlignment="1" applyProtection="1">
      <alignment horizontal="center" vertical="center" readingOrder="1"/>
    </xf>
    <xf numFmtId="0" fontId="7" fillId="5" borderId="1" xfId="1" applyFont="1" applyFill="1" applyBorder="1" applyAlignment="1" applyProtection="1">
      <alignment horizontal="center" vertical="center" shrinkToFit="1"/>
    </xf>
    <xf numFmtId="0" fontId="7" fillId="5" borderId="6" xfId="1" applyFont="1" applyFill="1" applyBorder="1" applyAlignment="1" applyProtection="1">
      <alignment horizontal="center" vertical="center" shrinkToFit="1"/>
    </xf>
    <xf numFmtId="0" fontId="11" fillId="7" borderId="1" xfId="0" applyFont="1" applyFill="1" applyBorder="1" applyAlignment="1" applyProtection="1">
      <alignment horizontal="center" vertical="center" shrinkToFit="1" readingOrder="1"/>
    </xf>
    <xf numFmtId="0" fontId="7" fillId="0" borderId="1" xfId="0" applyFont="1" applyBorder="1" applyAlignment="1" applyProtection="1">
      <alignment horizontal="center" vertical="center" shrinkToFit="1" readingOrder="1"/>
    </xf>
    <xf numFmtId="0" fontId="8" fillId="3" borderId="1" xfId="0" applyFont="1" applyFill="1" applyBorder="1" applyAlignment="1" applyProtection="1">
      <alignment horizontal="center" vertical="center" shrinkToFit="1" readingOrder="1"/>
    </xf>
    <xf numFmtId="0" fontId="3" fillId="4" borderId="2" xfId="0" applyFont="1" applyFill="1" applyBorder="1" applyAlignment="1" applyProtection="1">
      <alignment horizontal="center" vertical="center"/>
      <protection locked="0"/>
    </xf>
    <xf numFmtId="0" fontId="3" fillId="4" borderId="13" xfId="0"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protection locked="0"/>
    </xf>
    <xf numFmtId="9" fontId="3" fillId="9" borderId="1" xfId="0" applyNumberFormat="1" applyFont="1" applyFill="1" applyBorder="1" applyAlignment="1" applyProtection="1">
      <alignment horizontal="center" vertical="center" shrinkToFit="1"/>
      <protection locked="0"/>
    </xf>
    <xf numFmtId="0" fontId="3" fillId="9" borderId="4" xfId="0" applyFont="1" applyFill="1" applyBorder="1" applyAlignment="1" applyProtection="1">
      <alignment horizontal="center" vertical="center" wrapText="1"/>
      <protection locked="0"/>
    </xf>
    <xf numFmtId="0" fontId="3" fillId="4" borderId="4" xfId="0" applyFont="1" applyFill="1" applyBorder="1" applyAlignment="1" applyProtection="1">
      <alignment horizontal="center" vertical="center" wrapText="1"/>
      <protection locked="0"/>
    </xf>
    <xf numFmtId="0" fontId="20" fillId="6" borderId="0" xfId="0" applyFont="1" applyFill="1" applyAlignment="1" applyProtection="1">
      <alignment vertical="center"/>
    </xf>
    <xf numFmtId="0" fontId="2" fillId="5" borderId="13" xfId="0" applyFont="1" applyFill="1" applyBorder="1" applyAlignment="1" applyProtection="1">
      <alignment horizontal="center" vertical="center" shrinkToFit="1"/>
    </xf>
    <xf numFmtId="0" fontId="2" fillId="5" borderId="1" xfId="0" applyFont="1" applyFill="1" applyBorder="1" applyAlignment="1" applyProtection="1">
      <alignment horizontal="center" vertical="center" shrinkToFit="1"/>
    </xf>
    <xf numFmtId="0" fontId="13" fillId="7" borderId="1" xfId="0" applyFont="1" applyFill="1" applyBorder="1" applyAlignment="1" applyProtection="1">
      <alignment horizontal="center" vertical="center" readingOrder="1"/>
    </xf>
    <xf numFmtId="0" fontId="21" fillId="9" borderId="18" xfId="0" applyFont="1" applyFill="1" applyBorder="1" applyAlignment="1" applyProtection="1">
      <alignment horizontal="center" vertical="center"/>
    </xf>
    <xf numFmtId="0" fontId="21" fillId="4" borderId="18" xfId="0" applyFont="1" applyFill="1" applyBorder="1" applyAlignment="1" applyProtection="1">
      <alignment horizontal="center" vertical="center"/>
    </xf>
    <xf numFmtId="0" fontId="21" fillId="9" borderId="22" xfId="0" applyFont="1" applyFill="1" applyBorder="1" applyAlignment="1" applyProtection="1">
      <alignment horizontal="center" vertical="center"/>
    </xf>
    <xf numFmtId="0" fontId="21" fillId="4" borderId="22" xfId="0" applyFont="1" applyFill="1" applyBorder="1" applyAlignment="1" applyProtection="1">
      <alignment horizontal="center" vertical="center"/>
    </xf>
    <xf numFmtId="0" fontId="21" fillId="9" borderId="30" xfId="0" applyFont="1" applyFill="1" applyBorder="1" applyAlignment="1" applyProtection="1">
      <alignment horizontal="center" vertical="center"/>
    </xf>
    <xf numFmtId="0" fontId="21" fillId="4" borderId="26" xfId="0" applyFont="1" applyFill="1" applyBorder="1" applyAlignment="1" applyProtection="1">
      <alignment horizontal="center" vertical="center"/>
    </xf>
    <xf numFmtId="9" fontId="21" fillId="9" borderId="1" xfId="0" applyNumberFormat="1" applyFont="1" applyFill="1" applyBorder="1" applyAlignment="1" applyProtection="1">
      <alignment horizontal="center" vertical="center" shrinkToFit="1"/>
    </xf>
    <xf numFmtId="0" fontId="21" fillId="9" borderId="4" xfId="0" applyFont="1" applyFill="1" applyBorder="1" applyAlignment="1" applyProtection="1">
      <alignment horizontal="center" vertical="center" wrapText="1"/>
    </xf>
    <xf numFmtId="0" fontId="21" fillId="4" borderId="4" xfId="0" applyFont="1" applyFill="1" applyBorder="1" applyAlignment="1" applyProtection="1">
      <alignment horizontal="center" vertical="center" wrapText="1"/>
    </xf>
    <xf numFmtId="0" fontId="11" fillId="0" borderId="0" xfId="3" applyFont="1" applyFill="1" applyBorder="1" applyAlignment="1" applyProtection="1">
      <alignment horizontal="center" vertical="center" shrinkToFit="1"/>
    </xf>
    <xf numFmtId="0" fontId="3" fillId="9" borderId="1" xfId="0" applyFont="1" applyFill="1" applyBorder="1" applyAlignment="1" applyProtection="1">
      <alignment horizontal="center" vertical="center"/>
    </xf>
    <xf numFmtId="0" fontId="3" fillId="8" borderId="1" xfId="0" applyFont="1" applyFill="1" applyBorder="1" applyAlignment="1" applyProtection="1">
      <alignment horizontal="center" vertical="center"/>
    </xf>
    <xf numFmtId="0" fontId="12" fillId="0" borderId="0" xfId="0" applyFont="1" applyFill="1" applyAlignment="1" applyProtection="1">
      <alignment vertical="center" wrapText="1"/>
    </xf>
    <xf numFmtId="0" fontId="2" fillId="0" borderId="0" xfId="0" applyFont="1" applyAlignment="1" applyProtection="1">
      <alignment vertical="center" shrinkToFit="1"/>
    </xf>
    <xf numFmtId="0" fontId="3" fillId="0" borderId="0" xfId="0" applyFont="1" applyAlignment="1" applyProtection="1">
      <alignment vertical="center" shrinkToFit="1"/>
    </xf>
    <xf numFmtId="0" fontId="3" fillId="10" borderId="1" xfId="0" applyFont="1" applyFill="1" applyBorder="1" applyAlignment="1" applyProtection="1">
      <alignment vertical="center" wrapText="1"/>
    </xf>
    <xf numFmtId="0" fontId="11" fillId="9" borderId="18" xfId="0" applyFont="1" applyFill="1" applyBorder="1" applyAlignment="1" applyProtection="1">
      <alignment horizontal="center" vertical="center"/>
      <protection locked="0"/>
    </xf>
    <xf numFmtId="0" fontId="11" fillId="4" borderId="18" xfId="0" applyFont="1" applyFill="1" applyBorder="1" applyAlignment="1" applyProtection="1">
      <alignment horizontal="center" vertical="center"/>
      <protection locked="0"/>
    </xf>
    <xf numFmtId="0" fontId="11" fillId="8" borderId="18" xfId="0" applyFont="1" applyFill="1" applyBorder="1" applyAlignment="1" applyProtection="1">
      <alignment horizontal="center" vertical="center"/>
    </xf>
    <xf numFmtId="0" fontId="11" fillId="8" borderId="22" xfId="0" applyFont="1" applyFill="1" applyBorder="1" applyAlignment="1" applyProtection="1">
      <alignment horizontal="center" vertical="center"/>
    </xf>
    <xf numFmtId="0" fontId="11" fillId="8" borderId="26" xfId="0" applyFont="1" applyFill="1" applyBorder="1" applyAlignment="1" applyProtection="1">
      <alignment horizontal="center" vertical="center"/>
    </xf>
    <xf numFmtId="0" fontId="11" fillId="0" borderId="0" xfId="0" applyFont="1" applyProtection="1">
      <alignment vertical="center"/>
    </xf>
    <xf numFmtId="0" fontId="11" fillId="0" borderId="0" xfId="0" applyFont="1" applyAlignment="1" applyProtection="1">
      <alignment vertical="center" wrapText="1"/>
    </xf>
    <xf numFmtId="0" fontId="11" fillId="8" borderId="1" xfId="0" applyFont="1" applyFill="1" applyBorder="1" applyAlignment="1" applyProtection="1">
      <alignment horizontal="center" vertical="center" wrapText="1"/>
    </xf>
    <xf numFmtId="0" fontId="11" fillId="0" borderId="0" xfId="0" applyFont="1" applyAlignment="1" applyProtection="1">
      <alignment horizontal="center" vertical="center"/>
    </xf>
    <xf numFmtId="0" fontId="2" fillId="5" borderId="13" xfId="0" applyFont="1" applyFill="1" applyBorder="1" applyAlignment="1" applyProtection="1">
      <alignment horizontal="center" vertical="center" shrinkToFit="1"/>
    </xf>
    <xf numFmtId="0" fontId="2" fillId="5" borderId="1" xfId="0" applyFont="1" applyFill="1" applyBorder="1" applyAlignment="1" applyProtection="1">
      <alignment horizontal="center" vertical="center" shrinkToFit="1"/>
    </xf>
    <xf numFmtId="0" fontId="13" fillId="7" borderId="1" xfId="0" applyFont="1" applyFill="1" applyBorder="1" applyAlignment="1" applyProtection="1">
      <alignment horizontal="center" vertical="center" readingOrder="1"/>
    </xf>
    <xf numFmtId="0" fontId="3" fillId="9" borderId="5" xfId="0" applyFont="1" applyFill="1" applyBorder="1" applyAlignment="1" applyProtection="1">
      <alignment horizontal="center" vertical="center" wrapText="1"/>
      <protection locked="0"/>
    </xf>
    <xf numFmtId="0" fontId="21" fillId="9" borderId="5" xfId="0" applyFont="1" applyFill="1" applyBorder="1" applyAlignment="1" applyProtection="1">
      <alignment horizontal="center" vertical="top" wrapText="1"/>
      <protection locked="0"/>
    </xf>
    <xf numFmtId="9" fontId="21" fillId="9" borderId="1" xfId="0" applyNumberFormat="1" applyFont="1" applyFill="1" applyBorder="1" applyAlignment="1" applyProtection="1">
      <alignment horizontal="center" vertical="center" shrinkToFit="1"/>
      <protection locked="0"/>
    </xf>
    <xf numFmtId="0" fontId="21" fillId="9" borderId="4" xfId="0" applyFont="1" applyFill="1" applyBorder="1" applyAlignment="1" applyProtection="1">
      <alignment horizontal="center" vertical="center" wrapText="1"/>
      <protection locked="0"/>
    </xf>
    <xf numFmtId="0" fontId="23" fillId="0" borderId="0" xfId="0" applyFont="1" applyFill="1">
      <alignment vertical="center"/>
    </xf>
    <xf numFmtId="0" fontId="3" fillId="0" borderId="0" xfId="0" applyFont="1" applyFill="1">
      <alignment vertical="center"/>
    </xf>
    <xf numFmtId="31" fontId="3" fillId="0" borderId="0" xfId="0" applyNumberFormat="1" applyFont="1" applyFill="1">
      <alignment vertical="center"/>
    </xf>
    <xf numFmtId="0" fontId="24" fillId="11" borderId="41" xfId="0" applyFont="1" applyFill="1" applyBorder="1" applyAlignment="1">
      <alignment horizontal="center" vertical="center" wrapText="1"/>
    </xf>
    <xf numFmtId="0" fontId="24" fillId="11" borderId="42" xfId="0" applyFont="1" applyFill="1" applyBorder="1" applyAlignment="1">
      <alignment horizontal="center" vertical="center" wrapText="1"/>
    </xf>
    <xf numFmtId="0" fontId="24" fillId="11" borderId="43" xfId="0" applyFont="1" applyFill="1" applyBorder="1" applyAlignment="1">
      <alignment horizontal="center" vertical="center" wrapText="1"/>
    </xf>
    <xf numFmtId="0" fontId="3" fillId="5" borderId="44" xfId="0" applyFont="1" applyFill="1" applyBorder="1" applyAlignment="1">
      <alignment vertical="center" wrapText="1" readingOrder="1"/>
    </xf>
    <xf numFmtId="0" fontId="3" fillId="5" borderId="45" xfId="0" applyFont="1" applyFill="1" applyBorder="1" applyAlignment="1">
      <alignment vertical="center" wrapText="1" readingOrder="1"/>
    </xf>
    <xf numFmtId="0" fontId="3" fillId="0" borderId="46" xfId="0" applyFont="1" applyFill="1" applyBorder="1" applyAlignment="1">
      <alignment horizontal="left" vertical="top" wrapText="1" readingOrder="1"/>
    </xf>
    <xf numFmtId="0" fontId="3" fillId="0" borderId="47" xfId="0" applyFont="1" applyFill="1" applyBorder="1" applyAlignment="1">
      <alignment horizontal="left" vertical="top" wrapText="1" readingOrder="1"/>
    </xf>
    <xf numFmtId="0" fontId="3" fillId="5" borderId="49" xfId="0" applyFont="1" applyFill="1" applyBorder="1" applyAlignment="1">
      <alignment vertical="center" wrapText="1" readingOrder="1"/>
    </xf>
    <xf numFmtId="0" fontId="3" fillId="5" borderId="50" xfId="0" applyFont="1" applyFill="1" applyBorder="1" applyAlignment="1">
      <alignment vertical="center" wrapText="1" readingOrder="1"/>
    </xf>
    <xf numFmtId="0" fontId="3" fillId="5" borderId="51" xfId="0" applyFont="1" applyFill="1" applyBorder="1" applyAlignment="1">
      <alignment vertical="center" wrapText="1" readingOrder="1"/>
    </xf>
    <xf numFmtId="0" fontId="3" fillId="5" borderId="52" xfId="0" applyFont="1" applyFill="1" applyBorder="1" applyAlignment="1">
      <alignment vertical="center" wrapText="1" readingOrder="1"/>
    </xf>
    <xf numFmtId="0" fontId="3" fillId="0" borderId="53" xfId="0" applyFont="1" applyFill="1" applyBorder="1" applyAlignment="1">
      <alignment horizontal="left" vertical="top" wrapText="1" readingOrder="1"/>
    </xf>
    <xf numFmtId="0" fontId="3" fillId="0" borderId="54" xfId="0" applyFont="1" applyFill="1" applyBorder="1" applyAlignment="1">
      <alignment horizontal="left" vertical="top" wrapText="1" readingOrder="1"/>
    </xf>
    <xf numFmtId="0" fontId="3" fillId="0" borderId="55" xfId="0" applyFont="1" applyFill="1" applyBorder="1" applyAlignment="1">
      <alignment vertical="top" wrapText="1" readingOrder="1"/>
    </xf>
    <xf numFmtId="0" fontId="3" fillId="0" borderId="56" xfId="0" applyFont="1" applyFill="1" applyBorder="1" applyAlignment="1">
      <alignment horizontal="left" vertical="top" wrapText="1" readingOrder="1"/>
    </xf>
    <xf numFmtId="0" fontId="3" fillId="0" borderId="57" xfId="0" applyFont="1" applyFill="1" applyBorder="1" applyAlignment="1">
      <alignment horizontal="left" vertical="top" wrapText="1" readingOrder="1"/>
    </xf>
    <xf numFmtId="0" fontId="3" fillId="0" borderId="58" xfId="0" applyFont="1" applyFill="1" applyBorder="1" applyAlignment="1">
      <alignment vertical="top" wrapText="1" readingOrder="1"/>
    </xf>
    <xf numFmtId="0" fontId="3" fillId="0" borderId="48" xfId="0" applyFont="1" applyFill="1" applyBorder="1" applyAlignment="1">
      <alignment horizontal="left" vertical="top" wrapText="1" readingOrder="1"/>
    </xf>
    <xf numFmtId="0" fontId="3" fillId="0" borderId="58" xfId="0" applyFont="1" applyFill="1" applyBorder="1" applyAlignment="1">
      <alignment horizontal="left" vertical="top" wrapText="1" readingOrder="1"/>
    </xf>
    <xf numFmtId="0" fontId="11" fillId="4" borderId="16" xfId="0" applyFont="1" applyFill="1" applyBorder="1" applyAlignment="1" applyProtection="1">
      <alignment vertical="top"/>
      <protection locked="0"/>
    </xf>
    <xf numFmtId="0" fontId="11" fillId="4" borderId="0" xfId="0" applyFont="1" applyFill="1" applyBorder="1" applyAlignment="1" applyProtection="1">
      <alignment vertical="top"/>
      <protection locked="0"/>
    </xf>
    <xf numFmtId="0" fontId="11" fillId="4" borderId="17" xfId="0" applyFont="1" applyFill="1" applyBorder="1" applyAlignment="1" applyProtection="1">
      <alignment vertical="top"/>
      <protection locked="0"/>
    </xf>
    <xf numFmtId="0" fontId="11" fillId="4" borderId="16" xfId="0" applyFont="1" applyFill="1" applyBorder="1" applyAlignment="1" applyProtection="1">
      <alignment vertical="top"/>
      <protection locked="0"/>
    </xf>
    <xf numFmtId="0" fontId="11" fillId="4" borderId="0" xfId="0" applyFont="1" applyFill="1" applyBorder="1" applyAlignment="1" applyProtection="1">
      <alignment vertical="top"/>
      <protection locked="0"/>
    </xf>
    <xf numFmtId="0" fontId="11" fillId="4" borderId="17" xfId="0" applyFont="1" applyFill="1" applyBorder="1" applyAlignment="1" applyProtection="1">
      <alignment vertical="top"/>
      <protection locked="0"/>
    </xf>
    <xf numFmtId="0" fontId="3" fillId="0" borderId="47" xfId="0" applyFont="1" applyFill="1" applyBorder="1" applyAlignment="1">
      <alignment vertical="top" wrapText="1" readingOrder="1"/>
    </xf>
    <xf numFmtId="0" fontId="3" fillId="0" borderId="48" xfId="0" applyFont="1" applyFill="1" applyBorder="1" applyAlignment="1">
      <alignment vertical="top" wrapText="1" readingOrder="1"/>
    </xf>
    <xf numFmtId="0" fontId="3" fillId="0" borderId="59" xfId="0" applyFont="1" applyFill="1" applyBorder="1" applyAlignment="1">
      <alignment horizontal="left" vertical="top" wrapText="1" readingOrder="1"/>
    </xf>
    <xf numFmtId="0" fontId="3" fillId="0" borderId="60" xfId="0" applyFont="1" applyFill="1" applyBorder="1" applyAlignment="1">
      <alignment horizontal="left" vertical="top" wrapText="1" readingOrder="1"/>
    </xf>
    <xf numFmtId="0" fontId="3" fillId="0" borderId="61" xfId="0" applyFont="1" applyFill="1" applyBorder="1" applyAlignment="1">
      <alignment vertical="top" wrapText="1" readingOrder="1"/>
    </xf>
    <xf numFmtId="0" fontId="25" fillId="0" borderId="54" xfId="0" applyFont="1" applyFill="1" applyBorder="1" applyAlignment="1">
      <alignment horizontal="left" vertical="top" wrapText="1" readingOrder="1"/>
    </xf>
    <xf numFmtId="0" fontId="3" fillId="0" borderId="55" xfId="0" applyFont="1" applyFill="1" applyBorder="1" applyAlignment="1">
      <alignment horizontal="left" vertical="top" wrapText="1" readingOrder="1"/>
    </xf>
    <xf numFmtId="0" fontId="3" fillId="0" borderId="61" xfId="0" applyFont="1" applyFill="1" applyBorder="1" applyAlignment="1">
      <alignment horizontal="left" vertical="top" wrapText="1" readingOrder="1"/>
    </xf>
    <xf numFmtId="0" fontId="11" fillId="8" borderId="8" xfId="0" applyFont="1" applyFill="1" applyBorder="1" applyAlignment="1" applyProtection="1">
      <alignment horizontal="center" vertical="center" wrapText="1"/>
    </xf>
    <xf numFmtId="0" fontId="11" fillId="9" borderId="1" xfId="0" applyFont="1" applyFill="1" applyBorder="1" applyAlignment="1" applyProtection="1">
      <alignment horizontal="center" vertical="center"/>
      <protection locked="0"/>
    </xf>
    <xf numFmtId="0" fontId="11" fillId="4" borderId="1" xfId="0" applyFont="1" applyFill="1" applyBorder="1" applyAlignment="1" applyProtection="1">
      <alignment horizontal="center" vertical="center"/>
      <protection locked="0"/>
    </xf>
    <xf numFmtId="0" fontId="11" fillId="4" borderId="11" xfId="0" applyFont="1" applyFill="1" applyBorder="1" applyAlignment="1" applyProtection="1">
      <alignment vertical="top"/>
      <protection locked="0"/>
    </xf>
    <xf numFmtId="0" fontId="11" fillId="4" borderId="15" xfId="0" applyFont="1" applyFill="1" applyBorder="1" applyAlignment="1" applyProtection="1">
      <alignment vertical="top"/>
      <protection locked="0"/>
    </xf>
    <xf numFmtId="0" fontId="11" fillId="4" borderId="12" xfId="0" applyFont="1" applyFill="1" applyBorder="1" applyAlignment="1" applyProtection="1">
      <alignment vertical="top"/>
      <protection locked="0"/>
    </xf>
    <xf numFmtId="0" fontId="11" fillId="8" borderId="1" xfId="0" applyFont="1" applyFill="1" applyBorder="1" applyAlignment="1" applyProtection="1">
      <alignment horizontal="center" vertical="center"/>
    </xf>
    <xf numFmtId="0" fontId="3" fillId="12" borderId="47" xfId="0" applyFont="1" applyFill="1" applyBorder="1" applyAlignment="1">
      <alignment horizontal="left" vertical="top" wrapText="1" readingOrder="1"/>
    </xf>
    <xf numFmtId="0" fontId="3" fillId="12" borderId="57" xfId="0" applyFont="1" applyFill="1" applyBorder="1" applyAlignment="1">
      <alignment horizontal="left" vertical="top" wrapText="1" readingOrder="1"/>
    </xf>
    <xf numFmtId="0" fontId="3" fillId="12" borderId="54" xfId="0" applyFont="1" applyFill="1" applyBorder="1" applyAlignment="1">
      <alignment horizontal="left" vertical="top" wrapText="1" readingOrder="1"/>
    </xf>
    <xf numFmtId="0" fontId="11" fillId="4" borderId="6" xfId="0" applyFont="1" applyFill="1" applyBorder="1" applyAlignment="1" applyProtection="1">
      <alignment horizontal="center" vertical="center"/>
      <protection locked="0"/>
    </xf>
    <xf numFmtId="0" fontId="11" fillId="8" borderId="6" xfId="0" applyFont="1" applyFill="1" applyBorder="1" applyAlignment="1" applyProtection="1">
      <alignment horizontal="center" vertical="center"/>
    </xf>
    <xf numFmtId="0" fontId="11" fillId="4" borderId="65" xfId="0" applyFont="1" applyFill="1" applyBorder="1" applyAlignment="1" applyProtection="1">
      <alignment horizontal="center" vertical="center"/>
      <protection locked="0"/>
    </xf>
    <xf numFmtId="0" fontId="11" fillId="8" borderId="65" xfId="0" applyFont="1" applyFill="1" applyBorder="1" applyAlignment="1" applyProtection="1">
      <alignment horizontal="center" vertical="center"/>
    </xf>
    <xf numFmtId="0" fontId="11" fillId="4" borderId="9" xfId="0" applyFont="1" applyFill="1" applyBorder="1" applyAlignment="1" applyProtection="1">
      <alignment vertical="top"/>
      <protection locked="0"/>
    </xf>
    <xf numFmtId="0" fontId="11" fillId="4" borderId="14" xfId="0" applyFont="1" applyFill="1" applyBorder="1" applyAlignment="1" applyProtection="1">
      <alignment vertical="top"/>
      <protection locked="0"/>
    </xf>
    <xf numFmtId="0" fontId="11" fillId="4" borderId="10" xfId="0" applyFont="1" applyFill="1" applyBorder="1" applyAlignment="1" applyProtection="1">
      <alignment vertical="top"/>
      <protection locked="0"/>
    </xf>
    <xf numFmtId="20" fontId="3" fillId="4" borderId="13" xfId="0" applyNumberFormat="1" applyFont="1" applyFill="1" applyBorder="1" applyAlignment="1" applyProtection="1">
      <alignment horizontal="center" vertical="center"/>
      <protection locked="0"/>
    </xf>
    <xf numFmtId="20" fontId="3" fillId="4" borderId="3" xfId="0" applyNumberFormat="1" applyFont="1" applyFill="1" applyBorder="1" applyAlignment="1" applyProtection="1">
      <alignment horizontal="center" vertical="center"/>
      <protection locked="0"/>
    </xf>
    <xf numFmtId="0" fontId="7" fillId="3" borderId="1" xfId="0" applyFont="1" applyFill="1" applyBorder="1" applyAlignment="1" applyProtection="1">
      <alignment vertical="center" wrapText="1" readingOrder="1"/>
    </xf>
    <xf numFmtId="0" fontId="7" fillId="3" borderId="8" xfId="0" applyFont="1" applyFill="1" applyBorder="1" applyAlignment="1" applyProtection="1">
      <alignment horizontal="center" vertical="center" textRotation="255" wrapText="1" shrinkToFit="1" readingOrder="1"/>
    </xf>
    <xf numFmtId="0" fontId="7" fillId="3" borderId="1" xfId="0" applyFont="1" applyFill="1" applyBorder="1" applyAlignment="1" applyProtection="1">
      <alignment horizontal="center" vertical="center" textRotation="255" wrapText="1" shrinkToFit="1" readingOrder="1"/>
    </xf>
    <xf numFmtId="0" fontId="7" fillId="3" borderId="6" xfId="0" applyFont="1" applyFill="1" applyBorder="1" applyAlignment="1" applyProtection="1">
      <alignment horizontal="center" vertical="center" textRotation="255" wrapText="1" shrinkToFit="1" readingOrder="1"/>
    </xf>
    <xf numFmtId="0" fontId="7" fillId="0" borderId="27" xfId="0" applyFont="1" applyFill="1" applyBorder="1" applyAlignment="1" applyProtection="1">
      <alignment vertical="center" wrapText="1" readingOrder="1"/>
    </xf>
    <xf numFmtId="0" fontId="7" fillId="0" borderId="28" xfId="0" applyFont="1" applyFill="1" applyBorder="1" applyAlignment="1" applyProtection="1">
      <alignment vertical="center" wrapText="1" readingOrder="1"/>
    </xf>
    <xf numFmtId="0" fontId="7" fillId="0" borderId="29" xfId="0" applyFont="1" applyFill="1" applyBorder="1" applyAlignment="1" applyProtection="1">
      <alignment vertical="center" wrapText="1" readingOrder="1"/>
    </xf>
    <xf numFmtId="0" fontId="7" fillId="3" borderId="8" xfId="0" applyFont="1" applyFill="1" applyBorder="1" applyAlignment="1" applyProtection="1">
      <alignment vertical="center" wrapText="1" readingOrder="1"/>
    </xf>
    <xf numFmtId="0" fontId="7" fillId="0" borderId="11" xfId="0" applyFont="1" applyFill="1" applyBorder="1" applyAlignment="1" applyProtection="1">
      <alignment vertical="center" wrapText="1" readingOrder="1"/>
    </xf>
    <xf numFmtId="0" fontId="7" fillId="0" borderId="15" xfId="0" applyFont="1" applyFill="1" applyBorder="1" applyAlignment="1" applyProtection="1">
      <alignment vertical="center" wrapText="1" readingOrder="1"/>
    </xf>
    <xf numFmtId="0" fontId="7" fillId="0" borderId="12" xfId="0" applyFont="1" applyFill="1" applyBorder="1" applyAlignment="1" applyProtection="1">
      <alignment vertical="center" wrapText="1" readingOrder="1"/>
    </xf>
    <xf numFmtId="0" fontId="7" fillId="0" borderId="2" xfId="0" applyFont="1" applyFill="1" applyBorder="1" applyAlignment="1" applyProtection="1">
      <alignment vertical="center" wrapText="1" readingOrder="1"/>
    </xf>
    <xf numFmtId="0" fontId="7" fillId="0" borderId="13" xfId="0" applyFont="1" applyFill="1" applyBorder="1" applyAlignment="1" applyProtection="1">
      <alignment vertical="center" wrapText="1" readingOrder="1"/>
    </xf>
    <xf numFmtId="0" fontId="7" fillId="0" borderId="3" xfId="0" applyFont="1" applyFill="1" applyBorder="1" applyAlignment="1" applyProtection="1">
      <alignment vertical="center" wrapText="1" readingOrder="1"/>
    </xf>
    <xf numFmtId="0" fontId="2" fillId="5" borderId="5" xfId="0" applyFont="1" applyFill="1" applyBorder="1" applyAlignment="1" applyProtection="1">
      <alignment horizontal="center" vertical="center" shrinkToFit="1"/>
    </xf>
    <xf numFmtId="0" fontId="3" fillId="9" borderId="5" xfId="0" applyFont="1" applyFill="1" applyBorder="1" applyAlignment="1" applyProtection="1">
      <alignment horizontal="left" vertical="center" wrapText="1"/>
      <protection locked="0"/>
    </xf>
    <xf numFmtId="0" fontId="14" fillId="0" borderId="1" xfId="0" applyFont="1" applyBorder="1" applyAlignment="1" applyProtection="1">
      <alignment vertical="center" wrapText="1" readingOrder="1"/>
    </xf>
    <xf numFmtId="0" fontId="14" fillId="0" borderId="2" xfId="0" applyFont="1" applyBorder="1" applyAlignment="1" applyProtection="1">
      <alignment vertical="center" readingOrder="1"/>
    </xf>
    <xf numFmtId="0" fontId="14" fillId="0" borderId="13" xfId="0" applyFont="1" applyBorder="1" applyAlignment="1" applyProtection="1">
      <alignment vertical="center" readingOrder="1"/>
    </xf>
    <xf numFmtId="0" fontId="14" fillId="0" borderId="3" xfId="0" applyFont="1" applyBorder="1" applyAlignment="1" applyProtection="1">
      <alignment vertical="center" readingOrder="1"/>
    </xf>
    <xf numFmtId="0" fontId="3" fillId="4" borderId="9" xfId="0" applyFont="1" applyFill="1" applyBorder="1" applyAlignment="1" applyProtection="1">
      <alignment vertical="top" wrapText="1"/>
      <protection locked="0"/>
    </xf>
    <xf numFmtId="0" fontId="3" fillId="4" borderId="14" xfId="0" applyFont="1" applyFill="1" applyBorder="1" applyAlignment="1" applyProtection="1">
      <alignment vertical="top" wrapText="1"/>
      <protection locked="0"/>
    </xf>
    <xf numFmtId="0" fontId="3" fillId="4" borderId="10" xfId="0" applyFont="1" applyFill="1" applyBorder="1" applyAlignment="1" applyProtection="1">
      <alignment vertical="top" wrapText="1"/>
      <protection locked="0"/>
    </xf>
    <xf numFmtId="0" fontId="3" fillId="4" borderId="16" xfId="0" applyFont="1" applyFill="1" applyBorder="1" applyAlignment="1" applyProtection="1">
      <alignment vertical="top" wrapText="1"/>
      <protection locked="0"/>
    </xf>
    <xf numFmtId="0" fontId="3" fillId="4" borderId="0" xfId="0" applyFont="1" applyFill="1" applyBorder="1" applyAlignment="1" applyProtection="1">
      <alignment vertical="top" wrapText="1"/>
      <protection locked="0"/>
    </xf>
    <xf numFmtId="0" fontId="3" fillId="4" borderId="17" xfId="0" applyFont="1" applyFill="1" applyBorder="1" applyAlignment="1" applyProtection="1">
      <alignment vertical="top" wrapText="1"/>
      <protection locked="0"/>
    </xf>
    <xf numFmtId="0" fontId="3" fillId="4" borderId="11" xfId="0" applyFont="1" applyFill="1" applyBorder="1" applyAlignment="1" applyProtection="1">
      <alignment vertical="top" wrapText="1"/>
      <protection locked="0"/>
    </xf>
    <xf numFmtId="0" fontId="3" fillId="4" borderId="15" xfId="0" applyFont="1" applyFill="1" applyBorder="1" applyAlignment="1" applyProtection="1">
      <alignment vertical="top" wrapText="1"/>
      <protection locked="0"/>
    </xf>
    <xf numFmtId="0" fontId="3" fillId="4" borderId="12" xfId="0" applyFont="1" applyFill="1" applyBorder="1" applyAlignment="1" applyProtection="1">
      <alignment vertical="top" wrapText="1"/>
      <protection locked="0"/>
    </xf>
    <xf numFmtId="0" fontId="2" fillId="5" borderId="6" xfId="0" applyFont="1" applyFill="1" applyBorder="1" applyAlignment="1" applyProtection="1">
      <alignment horizontal="center" vertical="center" shrinkToFit="1"/>
    </xf>
    <xf numFmtId="0" fontId="2" fillId="5" borderId="8" xfId="0" applyFont="1" applyFill="1" applyBorder="1" applyAlignment="1" applyProtection="1">
      <alignment horizontal="center" vertical="center" shrinkToFit="1"/>
    </xf>
    <xf numFmtId="0" fontId="2" fillId="5" borderId="2" xfId="0" applyFont="1" applyFill="1" applyBorder="1" applyAlignment="1" applyProtection="1">
      <alignment horizontal="center" vertical="center" shrinkToFit="1"/>
    </xf>
    <xf numFmtId="0" fontId="2" fillId="5" borderId="13" xfId="0" applyFont="1" applyFill="1" applyBorder="1" applyAlignment="1" applyProtection="1">
      <alignment horizontal="center" vertical="center" shrinkToFit="1"/>
    </xf>
    <xf numFmtId="0" fontId="2" fillId="5" borderId="3" xfId="0" applyFont="1" applyFill="1" applyBorder="1" applyAlignment="1" applyProtection="1">
      <alignment horizontal="center" vertical="center" shrinkToFit="1"/>
    </xf>
    <xf numFmtId="0" fontId="3" fillId="9" borderId="2" xfId="0" applyFont="1" applyFill="1" applyBorder="1" applyAlignment="1" applyProtection="1">
      <alignment vertical="top" wrapText="1"/>
      <protection locked="0"/>
    </xf>
    <xf numFmtId="0" fontId="3" fillId="9" borderId="13" xfId="0" applyFont="1" applyFill="1" applyBorder="1" applyAlignment="1" applyProtection="1">
      <alignment vertical="top" wrapText="1"/>
      <protection locked="0"/>
    </xf>
    <xf numFmtId="0" fontId="3" fillId="9" borderId="3" xfId="0" applyFont="1" applyFill="1" applyBorder="1" applyAlignment="1" applyProtection="1">
      <alignment vertical="top" wrapText="1"/>
      <protection locked="0"/>
    </xf>
    <xf numFmtId="0" fontId="3" fillId="9" borderId="66" xfId="0" applyFont="1" applyFill="1" applyBorder="1" applyAlignment="1" applyProtection="1">
      <alignment horizontal="left" vertical="center" wrapText="1"/>
      <protection locked="0"/>
    </xf>
    <xf numFmtId="0" fontId="3" fillId="9" borderId="13" xfId="0" applyFont="1" applyFill="1" applyBorder="1" applyAlignment="1" applyProtection="1">
      <alignment horizontal="left" vertical="center" wrapText="1"/>
      <protection locked="0"/>
    </xf>
    <xf numFmtId="0" fontId="3" fillId="9" borderId="33" xfId="0" applyFont="1" applyFill="1" applyBorder="1" applyAlignment="1" applyProtection="1">
      <alignment horizontal="left" vertical="center" wrapText="1"/>
      <protection locked="0"/>
    </xf>
    <xf numFmtId="0" fontId="3" fillId="9" borderId="3" xfId="0" applyFont="1" applyFill="1" applyBorder="1" applyAlignment="1" applyProtection="1">
      <alignment horizontal="left" vertical="center" wrapText="1"/>
      <protection locked="0"/>
    </xf>
    <xf numFmtId="0" fontId="3" fillId="9" borderId="35" xfId="0" applyFont="1" applyFill="1" applyBorder="1" applyAlignment="1" applyProtection="1">
      <alignment horizontal="left" vertical="center" wrapText="1"/>
      <protection locked="0"/>
    </xf>
    <xf numFmtId="0" fontId="3" fillId="9" borderId="2" xfId="0" applyFont="1" applyFill="1" applyBorder="1" applyAlignment="1" applyProtection="1">
      <alignment horizontal="left" vertical="center" wrapText="1"/>
      <protection locked="0"/>
    </xf>
    <xf numFmtId="0" fontId="7" fillId="5" borderId="9" xfId="1" applyFont="1" applyFill="1" applyBorder="1" applyAlignment="1" applyProtection="1">
      <alignment horizontal="center" vertical="center" shrinkToFit="1"/>
    </xf>
    <xf numFmtId="0" fontId="7" fillId="5" borderId="14" xfId="1" applyFont="1" applyFill="1" applyBorder="1" applyAlignment="1" applyProtection="1">
      <alignment horizontal="center" vertical="center" shrinkToFit="1"/>
    </xf>
    <xf numFmtId="0" fontId="7" fillId="5" borderId="10" xfId="1" applyFont="1" applyFill="1" applyBorder="1" applyAlignment="1" applyProtection="1">
      <alignment horizontal="center" vertical="center" shrinkToFit="1"/>
    </xf>
    <xf numFmtId="0" fontId="7" fillId="5" borderId="11" xfId="1" applyFont="1" applyFill="1" applyBorder="1" applyAlignment="1" applyProtection="1">
      <alignment horizontal="center" vertical="center" shrinkToFit="1"/>
    </xf>
    <xf numFmtId="0" fontId="7" fillId="5" borderId="15" xfId="1" applyFont="1" applyFill="1" applyBorder="1" applyAlignment="1" applyProtection="1">
      <alignment horizontal="center" vertical="center" shrinkToFit="1"/>
    </xf>
    <xf numFmtId="0" fontId="7" fillId="5" borderId="12" xfId="1" applyFont="1" applyFill="1" applyBorder="1" applyAlignment="1" applyProtection="1">
      <alignment horizontal="center" vertical="center" shrinkToFit="1"/>
    </xf>
    <xf numFmtId="0" fontId="7" fillId="5" borderId="2" xfId="1" applyFont="1" applyFill="1" applyBorder="1" applyAlignment="1" applyProtection="1">
      <alignment horizontal="center" vertical="center" shrinkToFit="1"/>
    </xf>
    <xf numFmtId="0" fontId="7" fillId="5" borderId="13" xfId="1" applyFont="1" applyFill="1" applyBorder="1" applyAlignment="1" applyProtection="1">
      <alignment horizontal="center" vertical="center" shrinkToFit="1"/>
    </xf>
    <xf numFmtId="0" fontId="7" fillId="5" borderId="3" xfId="1" applyFont="1" applyFill="1" applyBorder="1" applyAlignment="1" applyProtection="1">
      <alignment horizontal="center" vertical="center" shrinkToFit="1"/>
    </xf>
    <xf numFmtId="0" fontId="13" fillId="7" borderId="1" xfId="0" applyFont="1" applyFill="1" applyBorder="1" applyAlignment="1" applyProtection="1">
      <alignment horizontal="center" vertical="center" readingOrder="1"/>
    </xf>
    <xf numFmtId="9" fontId="9" fillId="0" borderId="14" xfId="0" applyNumberFormat="1" applyFont="1" applyBorder="1" applyAlignment="1" applyProtection="1">
      <alignment horizontal="right" vertical="top" shrinkToFit="1"/>
    </xf>
    <xf numFmtId="9" fontId="9" fillId="0" borderId="0" xfId="0" applyNumberFormat="1" applyFont="1" applyBorder="1" applyAlignment="1" applyProtection="1">
      <alignment horizontal="right" vertical="top" shrinkToFit="1"/>
    </xf>
    <xf numFmtId="0" fontId="13" fillId="0" borderId="1" xfId="0" applyFont="1" applyBorder="1" applyAlignment="1" applyProtection="1">
      <alignment vertical="center" wrapText="1" readingOrder="1"/>
    </xf>
    <xf numFmtId="0" fontId="15" fillId="3" borderId="1" xfId="0" applyFont="1" applyFill="1" applyBorder="1" applyAlignment="1" applyProtection="1">
      <alignment vertical="center" wrapText="1" readingOrder="1"/>
    </xf>
    <xf numFmtId="0" fontId="15" fillId="3" borderId="2" xfId="0" applyFont="1" applyFill="1" applyBorder="1" applyAlignment="1" applyProtection="1">
      <alignment vertical="center" readingOrder="1"/>
    </xf>
    <xf numFmtId="0" fontId="15" fillId="3" borderId="13" xfId="0" applyFont="1" applyFill="1" applyBorder="1" applyAlignment="1" applyProtection="1">
      <alignment vertical="center" readingOrder="1"/>
    </xf>
    <xf numFmtId="0" fontId="15" fillId="3" borderId="3" xfId="0" applyFont="1" applyFill="1" applyBorder="1" applyAlignment="1" applyProtection="1">
      <alignment vertical="center" readingOrder="1"/>
    </xf>
    <xf numFmtId="0" fontId="7" fillId="0" borderId="1" xfId="0" applyFont="1" applyBorder="1" applyAlignment="1" applyProtection="1">
      <alignment horizontal="left" vertical="center" shrinkToFit="1" readingOrder="1"/>
    </xf>
    <xf numFmtId="0" fontId="8" fillId="3" borderId="1" xfId="0" applyFont="1" applyFill="1" applyBorder="1" applyAlignment="1" applyProtection="1">
      <alignment horizontal="left" vertical="center" shrinkToFit="1" readingOrder="1"/>
    </xf>
    <xf numFmtId="0" fontId="11" fillId="2" borderId="8" xfId="0" applyFont="1" applyFill="1" applyBorder="1" applyAlignment="1" applyProtection="1">
      <alignment horizontal="center" vertical="center"/>
    </xf>
    <xf numFmtId="0" fontId="11" fillId="7" borderId="2" xfId="0" applyFont="1" applyFill="1" applyBorder="1" applyAlignment="1" applyProtection="1">
      <alignment horizontal="center" vertical="center" shrinkToFit="1" readingOrder="1"/>
    </xf>
    <xf numFmtId="0" fontId="11" fillId="7" borderId="13" xfId="0" applyFont="1" applyFill="1" applyBorder="1" applyAlignment="1" applyProtection="1">
      <alignment horizontal="center" vertical="center" shrinkToFit="1" readingOrder="1"/>
    </xf>
    <xf numFmtId="0" fontId="11" fillId="7" borderId="3" xfId="0" applyFont="1" applyFill="1" applyBorder="1" applyAlignment="1" applyProtection="1">
      <alignment horizontal="center" vertical="center" shrinkToFit="1" readingOrder="1"/>
    </xf>
    <xf numFmtId="0" fontId="11" fillId="4" borderId="16" xfId="0" applyFont="1" applyFill="1" applyBorder="1" applyAlignment="1" applyProtection="1">
      <alignment vertical="top"/>
      <protection locked="0"/>
    </xf>
    <xf numFmtId="0" fontId="11" fillId="4" borderId="0" xfId="0" applyFont="1" applyFill="1" applyBorder="1" applyAlignment="1" applyProtection="1">
      <alignment vertical="top"/>
      <protection locked="0"/>
    </xf>
    <xf numFmtId="0" fontId="11" fillId="4" borderId="17" xfId="0" applyFont="1" applyFill="1" applyBorder="1" applyAlignment="1" applyProtection="1">
      <alignment vertical="top"/>
      <protection locked="0"/>
    </xf>
    <xf numFmtId="0" fontId="7" fillId="3" borderId="7" xfId="0" applyFont="1" applyFill="1" applyBorder="1" applyAlignment="1" applyProtection="1">
      <alignment horizontal="center" vertical="center" textRotation="255" wrapText="1" shrinkToFit="1" readingOrder="1"/>
    </xf>
    <xf numFmtId="0" fontId="7" fillId="3" borderId="19" xfId="0" applyFont="1" applyFill="1" applyBorder="1" applyAlignment="1" applyProtection="1">
      <alignment vertical="center" wrapText="1" readingOrder="1"/>
    </xf>
    <xf numFmtId="0" fontId="7" fillId="3" borderId="20" xfId="0" applyFont="1" applyFill="1" applyBorder="1" applyAlignment="1" applyProtection="1">
      <alignment vertical="center" wrapText="1" readingOrder="1"/>
    </xf>
    <xf numFmtId="0" fontId="7" fillId="3" borderId="21" xfId="0" applyFont="1" applyFill="1" applyBorder="1" applyAlignment="1" applyProtection="1">
      <alignment vertical="center" wrapText="1" readingOrder="1"/>
    </xf>
    <xf numFmtId="0" fontId="7" fillId="0" borderId="19" xfId="0" applyFont="1" applyFill="1" applyBorder="1" applyAlignment="1" applyProtection="1">
      <alignment vertical="center" wrapText="1" readingOrder="1"/>
    </xf>
    <xf numFmtId="0" fontId="7" fillId="0" borderId="20" xfId="0" applyFont="1" applyFill="1" applyBorder="1" applyAlignment="1" applyProtection="1">
      <alignment vertical="center" wrapText="1" readingOrder="1"/>
    </xf>
    <xf numFmtId="0" fontId="7" fillId="0" borderId="21" xfId="0" applyFont="1" applyFill="1" applyBorder="1" applyAlignment="1" applyProtection="1">
      <alignment vertical="center" wrapText="1" readingOrder="1"/>
    </xf>
    <xf numFmtId="0" fontId="7" fillId="3" borderId="23" xfId="0" applyFont="1" applyFill="1" applyBorder="1" applyAlignment="1" applyProtection="1">
      <alignment vertical="center" wrapText="1" readingOrder="1"/>
    </xf>
    <xf numFmtId="0" fontId="7" fillId="3" borderId="24" xfId="0" applyFont="1" applyFill="1" applyBorder="1" applyAlignment="1" applyProtection="1">
      <alignment vertical="center" wrapText="1" readingOrder="1"/>
    </xf>
    <xf numFmtId="0" fontId="7" fillId="3" borderId="25" xfId="0" applyFont="1" applyFill="1" applyBorder="1" applyAlignment="1" applyProtection="1">
      <alignment vertical="center" wrapText="1" readingOrder="1"/>
    </xf>
    <xf numFmtId="0" fontId="7" fillId="0" borderId="23" xfId="0" applyFont="1" applyFill="1" applyBorder="1" applyAlignment="1" applyProtection="1">
      <alignment vertical="center" wrapText="1" readingOrder="1"/>
    </xf>
    <xf numFmtId="0" fontId="7" fillId="0" borderId="24" xfId="0" applyFont="1" applyFill="1" applyBorder="1" applyAlignment="1" applyProtection="1">
      <alignment vertical="center" wrapText="1" readingOrder="1"/>
    </xf>
    <xf numFmtId="0" fontId="7" fillId="0" borderId="25" xfId="0" applyFont="1" applyFill="1" applyBorder="1" applyAlignment="1" applyProtection="1">
      <alignment vertical="center" wrapText="1" readingOrder="1"/>
    </xf>
    <xf numFmtId="0" fontId="7" fillId="3" borderId="62" xfId="0" applyFont="1" applyFill="1" applyBorder="1" applyAlignment="1" applyProtection="1">
      <alignment vertical="center" wrapText="1" readingOrder="1"/>
    </xf>
    <xf numFmtId="0" fontId="7" fillId="3" borderId="63" xfId="0" applyFont="1" applyFill="1" applyBorder="1" applyAlignment="1" applyProtection="1">
      <alignment vertical="center" wrapText="1" readingOrder="1"/>
    </xf>
    <xf numFmtId="0" fontId="7" fillId="3" borderId="64" xfId="0" applyFont="1" applyFill="1" applyBorder="1" applyAlignment="1" applyProtection="1">
      <alignment vertical="center" wrapText="1" readingOrder="1"/>
    </xf>
    <xf numFmtId="0" fontId="7" fillId="0" borderId="62" xfId="0" applyFont="1" applyFill="1" applyBorder="1" applyAlignment="1" applyProtection="1">
      <alignment vertical="center" wrapText="1" readingOrder="1"/>
    </xf>
    <xf numFmtId="0" fontId="7" fillId="0" borderId="63" xfId="0" applyFont="1" applyFill="1" applyBorder="1" applyAlignment="1" applyProtection="1">
      <alignment vertical="center" wrapText="1" readingOrder="1"/>
    </xf>
    <xf numFmtId="0" fontId="7" fillId="0" borderId="64" xfId="0" applyFont="1" applyFill="1" applyBorder="1" applyAlignment="1" applyProtection="1">
      <alignment vertical="center" wrapText="1" readingOrder="1"/>
    </xf>
    <xf numFmtId="0" fontId="11" fillId="5" borderId="2" xfId="3" applyFont="1" applyFill="1" applyBorder="1" applyAlignment="1" applyProtection="1">
      <alignment horizontal="center" vertical="center" shrinkToFit="1"/>
    </xf>
    <xf numFmtId="0" fontId="11" fillId="5" borderId="3" xfId="3" applyFont="1" applyFill="1" applyBorder="1" applyAlignment="1" applyProtection="1">
      <alignment horizontal="center" vertical="center" shrinkToFit="1"/>
    </xf>
    <xf numFmtId="0" fontId="3" fillId="2" borderId="2" xfId="0" applyFont="1" applyFill="1" applyBorder="1" applyAlignment="1" applyProtection="1">
      <alignment horizontal="center" vertical="center"/>
    </xf>
    <xf numFmtId="0" fontId="3" fillId="2" borderId="13" xfId="0" applyFont="1" applyFill="1" applyBorder="1" applyAlignment="1" applyProtection="1">
      <alignment horizontal="center" vertical="center"/>
    </xf>
    <xf numFmtId="0" fontId="3" fillId="2" borderId="3" xfId="0" applyFont="1" applyFill="1" applyBorder="1" applyAlignment="1" applyProtection="1">
      <alignment horizontal="center" vertical="center"/>
    </xf>
    <xf numFmtId="0" fontId="3" fillId="5" borderId="1" xfId="0" applyFont="1" applyFill="1" applyBorder="1" applyAlignment="1" applyProtection="1">
      <alignment vertical="center"/>
    </xf>
    <xf numFmtId="0" fontId="3" fillId="4" borderId="2" xfId="0" applyFont="1" applyFill="1" applyBorder="1" applyAlignment="1" applyProtection="1">
      <alignment vertical="center"/>
      <protection locked="0"/>
    </xf>
    <xf numFmtId="0" fontId="3" fillId="4" borderId="13" xfId="0" applyFont="1" applyFill="1" applyBorder="1" applyAlignment="1" applyProtection="1">
      <alignment vertical="center"/>
      <protection locked="0"/>
    </xf>
    <xf numFmtId="0" fontId="3" fillId="4" borderId="3" xfId="0" applyFont="1" applyFill="1" applyBorder="1" applyAlignment="1" applyProtection="1">
      <alignment vertical="center"/>
      <protection locked="0"/>
    </xf>
    <xf numFmtId="0" fontId="17" fillId="5" borderId="6" xfId="0" applyFont="1" applyFill="1" applyBorder="1" applyAlignment="1" applyProtection="1">
      <alignment horizontal="center" vertical="center" wrapText="1" shrinkToFit="1"/>
    </xf>
    <xf numFmtId="0" fontId="17" fillId="5" borderId="8" xfId="0" applyFont="1" applyFill="1" applyBorder="1" applyAlignment="1" applyProtection="1">
      <alignment horizontal="center" vertical="center" shrinkToFit="1"/>
    </xf>
    <xf numFmtId="0" fontId="2" fillId="5" borderId="9" xfId="0" applyFont="1" applyFill="1" applyBorder="1" applyAlignment="1" applyProtection="1">
      <alignment horizontal="center" vertical="center" shrinkToFit="1"/>
    </xf>
    <xf numFmtId="0" fontId="2" fillId="5" borderId="14" xfId="0" applyFont="1" applyFill="1" applyBorder="1" applyAlignment="1" applyProtection="1">
      <alignment horizontal="center" vertical="center" shrinkToFit="1"/>
    </xf>
    <xf numFmtId="0" fontId="2" fillId="5" borderId="10" xfId="0" applyFont="1" applyFill="1" applyBorder="1" applyAlignment="1" applyProtection="1">
      <alignment horizontal="center" vertical="center" shrinkToFit="1"/>
    </xf>
    <xf numFmtId="0" fontId="2" fillId="5" borderId="35" xfId="0" applyFont="1" applyFill="1" applyBorder="1" applyAlignment="1" applyProtection="1">
      <alignment horizontal="center" vertical="center" shrinkToFit="1"/>
    </xf>
    <xf numFmtId="0" fontId="2" fillId="5" borderId="4" xfId="0" applyFont="1" applyFill="1" applyBorder="1" applyAlignment="1" applyProtection="1">
      <alignment horizontal="center" vertical="center" shrinkToFit="1"/>
    </xf>
    <xf numFmtId="0" fontId="11" fillId="9" borderId="2" xfId="3" applyFont="1" applyFill="1" applyBorder="1" applyAlignment="1" applyProtection="1">
      <alignment vertical="center" shrinkToFit="1"/>
      <protection locked="0"/>
    </xf>
    <xf numFmtId="0" fontId="11" fillId="9" borderId="13" xfId="3" applyFont="1" applyFill="1" applyBorder="1" applyAlignment="1" applyProtection="1">
      <alignment vertical="center" shrinkToFit="1"/>
      <protection locked="0"/>
    </xf>
    <xf numFmtId="0" fontId="11" fillId="9" borderId="32" xfId="3" applyFont="1" applyFill="1" applyBorder="1" applyAlignment="1" applyProtection="1">
      <alignment vertical="center" shrinkToFit="1"/>
      <protection locked="0"/>
    </xf>
    <xf numFmtId="0" fontId="3" fillId="5" borderId="2" xfId="0" applyFont="1" applyFill="1" applyBorder="1" applyAlignment="1" applyProtection="1">
      <alignment horizontal="center" vertical="center"/>
    </xf>
    <xf numFmtId="0" fontId="3" fillId="5" borderId="13" xfId="0" applyFont="1" applyFill="1" applyBorder="1" applyAlignment="1" applyProtection="1">
      <alignment horizontal="center" vertical="center"/>
    </xf>
    <xf numFmtId="0" fontId="3" fillId="5" borderId="3" xfId="0" applyFont="1" applyFill="1" applyBorder="1" applyAlignment="1" applyProtection="1">
      <alignment horizontal="center" vertical="center"/>
    </xf>
    <xf numFmtId="0" fontId="3" fillId="5" borderId="1" xfId="0" applyFont="1" applyFill="1" applyBorder="1" applyAlignment="1" applyProtection="1">
      <alignment horizontal="center" vertical="center"/>
    </xf>
    <xf numFmtId="0" fontId="19" fillId="6" borderId="0" xfId="0" applyFont="1" applyFill="1" applyAlignment="1" applyProtection="1">
      <alignment horizontal="center" vertical="center"/>
    </xf>
    <xf numFmtId="178" fontId="11" fillId="9" borderId="2" xfId="3" applyNumberFormat="1" applyFont="1" applyFill="1" applyBorder="1" applyAlignment="1" applyProtection="1">
      <alignment horizontal="center" vertical="center" shrinkToFit="1"/>
      <protection locked="0"/>
    </xf>
    <xf numFmtId="178" fontId="11" fillId="9" borderId="3" xfId="3" applyNumberFormat="1" applyFont="1" applyFill="1" applyBorder="1" applyAlignment="1" applyProtection="1">
      <alignment horizontal="center" vertical="center" shrinkToFit="1"/>
      <protection locked="0"/>
    </xf>
    <xf numFmtId="0" fontId="11" fillId="9" borderId="2" xfId="0" applyFont="1" applyFill="1" applyBorder="1" applyAlignment="1" applyProtection="1">
      <alignment horizontal="center" vertical="center" shrinkToFit="1"/>
      <protection locked="0"/>
    </xf>
    <xf numFmtId="0" fontId="11" fillId="9" borderId="3" xfId="0" applyFont="1" applyFill="1" applyBorder="1" applyAlignment="1" applyProtection="1">
      <alignment horizontal="center" vertical="center" shrinkToFit="1"/>
      <protection locked="0"/>
    </xf>
    <xf numFmtId="0" fontId="3" fillId="5" borderId="31" xfId="0" applyFont="1" applyFill="1" applyBorder="1" applyAlignment="1" applyProtection="1">
      <alignment horizontal="center" vertical="center" shrinkToFit="1"/>
    </xf>
    <xf numFmtId="0" fontId="11" fillId="9" borderId="2" xfId="3" applyFont="1" applyFill="1" applyBorder="1" applyAlignment="1" applyProtection="1">
      <alignment horizontal="center" vertical="center" shrinkToFit="1"/>
      <protection locked="0"/>
    </xf>
    <xf numFmtId="0" fontId="11" fillId="9" borderId="3" xfId="3" applyFont="1" applyFill="1" applyBorder="1" applyAlignment="1" applyProtection="1">
      <alignment horizontal="center" vertical="center" shrinkToFit="1"/>
      <protection locked="0"/>
    </xf>
    <xf numFmtId="0" fontId="11" fillId="9" borderId="13" xfId="3" applyFont="1" applyFill="1" applyBorder="1" applyAlignment="1" applyProtection="1">
      <alignment horizontal="center" vertical="center" shrinkToFit="1"/>
      <protection locked="0"/>
    </xf>
    <xf numFmtId="0" fontId="11" fillId="9" borderId="11" xfId="3" applyFont="1" applyFill="1" applyBorder="1" applyAlignment="1" applyProtection="1">
      <alignment horizontal="center" vertical="center" shrinkToFit="1"/>
      <protection locked="0"/>
    </xf>
    <xf numFmtId="0" fontId="11" fillId="9" borderId="15" xfId="3" applyFont="1" applyFill="1" applyBorder="1" applyAlignment="1" applyProtection="1">
      <alignment horizontal="center" vertical="center" shrinkToFit="1"/>
      <protection locked="0"/>
    </xf>
    <xf numFmtId="38" fontId="11" fillId="0" borderId="31" xfId="3" applyNumberFormat="1" applyFont="1" applyFill="1" applyBorder="1" applyAlignment="1" applyProtection="1">
      <alignment horizontal="center" vertical="center" shrinkToFit="1"/>
    </xf>
    <xf numFmtId="0" fontId="11" fillId="0" borderId="31" xfId="3" applyFont="1" applyFill="1" applyBorder="1" applyAlignment="1" applyProtection="1">
      <alignment horizontal="center" vertical="center" shrinkToFit="1"/>
    </xf>
    <xf numFmtId="176" fontId="11" fillId="9" borderId="2" xfId="3" applyNumberFormat="1" applyFont="1" applyFill="1" applyBorder="1" applyAlignment="1" applyProtection="1">
      <alignment horizontal="center" vertical="center" shrinkToFit="1"/>
      <protection locked="0"/>
    </xf>
    <xf numFmtId="176" fontId="11" fillId="9" borderId="3" xfId="3" applyNumberFormat="1" applyFont="1" applyFill="1" applyBorder="1" applyAlignment="1" applyProtection="1">
      <alignment horizontal="center" vertical="center" shrinkToFit="1"/>
      <protection locked="0"/>
    </xf>
    <xf numFmtId="0" fontId="21" fillId="9" borderId="2" xfId="3" applyFont="1" applyFill="1" applyBorder="1" applyAlignment="1" applyProtection="1">
      <alignment horizontal="center" vertical="center" shrinkToFit="1"/>
    </xf>
    <xf numFmtId="0" fontId="21" fillId="9" borderId="3" xfId="3" applyFont="1" applyFill="1" applyBorder="1" applyAlignment="1" applyProtection="1">
      <alignment horizontal="center" vertical="center" shrinkToFit="1"/>
    </xf>
    <xf numFmtId="0" fontId="21" fillId="9" borderId="2" xfId="0" applyFont="1" applyFill="1" applyBorder="1" applyAlignment="1" applyProtection="1">
      <alignment horizontal="center" vertical="center" shrinkToFit="1"/>
      <protection locked="0"/>
    </xf>
    <xf numFmtId="0" fontId="21" fillId="9" borderId="3" xfId="0" applyFont="1" applyFill="1" applyBorder="1" applyAlignment="1" applyProtection="1">
      <alignment horizontal="center" vertical="center" shrinkToFit="1"/>
      <protection locked="0"/>
    </xf>
    <xf numFmtId="0" fontId="21" fillId="9" borderId="11" xfId="3" applyFont="1" applyFill="1" applyBorder="1" applyAlignment="1" applyProtection="1">
      <alignment horizontal="center" vertical="center" shrinkToFit="1"/>
      <protection locked="0"/>
    </xf>
    <xf numFmtId="0" fontId="21" fillId="9" borderId="15" xfId="3" applyFont="1" applyFill="1" applyBorder="1" applyAlignment="1" applyProtection="1">
      <alignment horizontal="center" vertical="center" shrinkToFit="1"/>
      <protection locked="0"/>
    </xf>
    <xf numFmtId="176" fontId="21" fillId="9" borderId="2" xfId="3" applyNumberFormat="1" applyFont="1" applyFill="1" applyBorder="1" applyAlignment="1" applyProtection="1">
      <alignment horizontal="center" vertical="center" shrinkToFit="1"/>
    </xf>
    <xf numFmtId="176" fontId="21" fillId="9" borderId="3" xfId="3" applyNumberFormat="1" applyFont="1" applyFill="1" applyBorder="1" applyAlignment="1" applyProtection="1">
      <alignment horizontal="center" vertical="center" shrinkToFit="1"/>
    </xf>
    <xf numFmtId="0" fontId="21" fillId="9" borderId="2" xfId="3" applyFont="1" applyFill="1" applyBorder="1" applyAlignment="1" applyProtection="1">
      <alignment vertical="center" shrinkToFit="1"/>
      <protection locked="0"/>
    </xf>
    <xf numFmtId="0" fontId="21" fillId="9" borderId="13" xfId="3" applyFont="1" applyFill="1" applyBorder="1" applyAlignment="1" applyProtection="1">
      <alignment vertical="center" shrinkToFit="1"/>
      <protection locked="0"/>
    </xf>
    <xf numFmtId="0" fontId="21" fillId="9" borderId="32" xfId="3" applyFont="1" applyFill="1" applyBorder="1" applyAlignment="1" applyProtection="1">
      <alignment vertical="center" shrinkToFit="1"/>
      <protection locked="0"/>
    </xf>
    <xf numFmtId="0" fontId="21" fillId="9" borderId="13" xfId="3" applyFont="1" applyFill="1" applyBorder="1" applyAlignment="1" applyProtection="1">
      <alignment horizontal="center" vertical="center" shrinkToFit="1"/>
    </xf>
    <xf numFmtId="0" fontId="21" fillId="9" borderId="2" xfId="0" applyFont="1" applyFill="1" applyBorder="1" applyAlignment="1" applyProtection="1">
      <alignment horizontal="left" vertical="top" wrapText="1"/>
      <protection locked="0"/>
    </xf>
    <xf numFmtId="0" fontId="21" fillId="9" borderId="13" xfId="0" applyFont="1" applyFill="1" applyBorder="1" applyAlignment="1" applyProtection="1">
      <alignment horizontal="left" vertical="top" wrapText="1"/>
      <protection locked="0"/>
    </xf>
    <xf numFmtId="0" fontId="21" fillId="9" borderId="33" xfId="0" applyFont="1" applyFill="1" applyBorder="1" applyAlignment="1" applyProtection="1">
      <alignment horizontal="left" vertical="top" wrapText="1"/>
      <protection locked="0"/>
    </xf>
    <xf numFmtId="0" fontId="21" fillId="9" borderId="5" xfId="0" applyFont="1" applyFill="1" applyBorder="1" applyAlignment="1" applyProtection="1">
      <alignment horizontal="left" vertical="top" wrapText="1"/>
      <protection locked="0"/>
    </xf>
    <xf numFmtId="0" fontId="21" fillId="9" borderId="35" xfId="0" applyFont="1" applyFill="1" applyBorder="1" applyAlignment="1" applyProtection="1">
      <alignment horizontal="left" vertical="top" wrapText="1"/>
      <protection locked="0"/>
    </xf>
    <xf numFmtId="0" fontId="21" fillId="9" borderId="2" xfId="0" applyFont="1" applyFill="1" applyBorder="1" applyAlignment="1" applyProtection="1">
      <alignment vertical="top" wrapText="1"/>
      <protection locked="0"/>
    </xf>
    <xf numFmtId="0" fontId="21" fillId="9" borderId="13" xfId="0" applyFont="1" applyFill="1" applyBorder="1" applyAlignment="1" applyProtection="1">
      <alignment vertical="top" wrapText="1"/>
      <protection locked="0"/>
    </xf>
    <xf numFmtId="0" fontId="21" fillId="9" borderId="3" xfId="0" applyFont="1" applyFill="1" applyBorder="1" applyAlignment="1" applyProtection="1">
      <alignment vertical="top" wrapText="1"/>
      <protection locked="0"/>
    </xf>
    <xf numFmtId="0" fontId="21" fillId="4" borderId="9" xfId="0" applyFont="1" applyFill="1" applyBorder="1" applyAlignment="1" applyProtection="1">
      <alignment vertical="top" wrapText="1"/>
    </xf>
    <xf numFmtId="0" fontId="21" fillId="4" borderId="14" xfId="0" applyFont="1" applyFill="1" applyBorder="1" applyAlignment="1" applyProtection="1">
      <alignment vertical="top" wrapText="1"/>
    </xf>
    <xf numFmtId="0" fontId="21" fillId="4" borderId="10" xfId="0" applyFont="1" applyFill="1" applyBorder="1" applyAlignment="1" applyProtection="1">
      <alignment vertical="top" wrapText="1"/>
    </xf>
    <xf numFmtId="0" fontId="21" fillId="4" borderId="16" xfId="0" applyFont="1" applyFill="1" applyBorder="1" applyAlignment="1" applyProtection="1">
      <alignment vertical="top" wrapText="1"/>
    </xf>
    <xf numFmtId="0" fontId="21" fillId="4" borderId="0" xfId="0" applyFont="1" applyFill="1" applyBorder="1" applyAlignment="1" applyProtection="1">
      <alignment vertical="top" wrapText="1"/>
    </xf>
    <xf numFmtId="0" fontId="21" fillId="4" borderId="17" xfId="0" applyFont="1" applyFill="1" applyBorder="1" applyAlignment="1" applyProtection="1">
      <alignment vertical="top" wrapText="1"/>
    </xf>
    <xf numFmtId="0" fontId="21" fillId="4" borderId="11" xfId="0" applyFont="1" applyFill="1" applyBorder="1" applyAlignment="1" applyProtection="1">
      <alignment vertical="top" wrapText="1"/>
    </xf>
    <xf numFmtId="0" fontId="21" fillId="4" borderId="15" xfId="0" applyFont="1" applyFill="1" applyBorder="1" applyAlignment="1" applyProtection="1">
      <alignment vertical="top" wrapText="1"/>
    </xf>
    <xf numFmtId="0" fontId="21" fillId="4" borderId="12" xfId="0" applyFont="1" applyFill="1" applyBorder="1" applyAlignment="1" applyProtection="1">
      <alignment vertical="top" wrapText="1"/>
    </xf>
    <xf numFmtId="0" fontId="21" fillId="9" borderId="9" xfId="0" applyFont="1" applyFill="1" applyBorder="1" applyAlignment="1" applyProtection="1">
      <alignment vertical="top"/>
    </xf>
    <xf numFmtId="0" fontId="21" fillId="9" borderId="14" xfId="0" applyFont="1" applyFill="1" applyBorder="1" applyAlignment="1" applyProtection="1">
      <alignment vertical="top"/>
    </xf>
    <xf numFmtId="0" fontId="21" fillId="9" borderId="10" xfId="0" applyFont="1" applyFill="1" applyBorder="1" applyAlignment="1" applyProtection="1">
      <alignment vertical="top"/>
    </xf>
    <xf numFmtId="0" fontId="21" fillId="9" borderId="16" xfId="0" applyFont="1" applyFill="1" applyBorder="1" applyAlignment="1" applyProtection="1">
      <alignment vertical="top"/>
    </xf>
    <xf numFmtId="0" fontId="21" fillId="9" borderId="0" xfId="0" applyFont="1" applyFill="1" applyBorder="1" applyAlignment="1" applyProtection="1">
      <alignment vertical="top"/>
    </xf>
    <xf numFmtId="0" fontId="21" fillId="9" borderId="17" xfId="0" applyFont="1" applyFill="1" applyBorder="1" applyAlignment="1" applyProtection="1">
      <alignment vertical="top"/>
    </xf>
    <xf numFmtId="0" fontId="21" fillId="9" borderId="11" xfId="0" applyFont="1" applyFill="1" applyBorder="1" applyAlignment="1" applyProtection="1">
      <alignment vertical="top"/>
    </xf>
    <xf numFmtId="0" fontId="21" fillId="9" borderId="15" xfId="0" applyFont="1" applyFill="1" applyBorder="1" applyAlignment="1" applyProtection="1">
      <alignment vertical="top"/>
    </xf>
    <xf numFmtId="0" fontId="21" fillId="9" borderId="12" xfId="0" applyFont="1" applyFill="1" applyBorder="1" applyAlignment="1" applyProtection="1">
      <alignment vertical="top"/>
    </xf>
    <xf numFmtId="0" fontId="7" fillId="3" borderId="27" xfId="0" applyFont="1" applyFill="1" applyBorder="1" applyAlignment="1" applyProtection="1">
      <alignment vertical="center" wrapText="1" readingOrder="1"/>
    </xf>
    <xf numFmtId="0" fontId="7" fillId="3" borderId="28" xfId="0" applyFont="1" applyFill="1" applyBorder="1" applyAlignment="1" applyProtection="1">
      <alignment vertical="center" wrapText="1" readingOrder="1"/>
    </xf>
    <xf numFmtId="0" fontId="7" fillId="3" borderId="29" xfId="0" applyFont="1" applyFill="1" applyBorder="1" applyAlignment="1" applyProtection="1">
      <alignment vertical="center" wrapText="1" readingOrder="1"/>
    </xf>
    <xf numFmtId="0" fontId="11" fillId="2" borderId="1" xfId="0" applyFont="1" applyFill="1" applyBorder="1" applyAlignment="1" applyProtection="1">
      <alignment horizontal="center" vertical="center"/>
    </xf>
    <xf numFmtId="0" fontId="21" fillId="4" borderId="9" xfId="0" applyFont="1" applyFill="1" applyBorder="1" applyAlignment="1" applyProtection="1">
      <alignment vertical="top"/>
    </xf>
    <xf numFmtId="0" fontId="21" fillId="4" borderId="14" xfId="0" applyFont="1" applyFill="1" applyBorder="1" applyAlignment="1" applyProtection="1">
      <alignment vertical="top"/>
    </xf>
    <xf numFmtId="0" fontId="21" fillId="4" borderId="10" xfId="0" applyFont="1" applyFill="1" applyBorder="1" applyAlignment="1" applyProtection="1">
      <alignment vertical="top"/>
    </xf>
    <xf numFmtId="0" fontId="21" fillId="4" borderId="16" xfId="0" applyFont="1" applyFill="1" applyBorder="1" applyAlignment="1" applyProtection="1">
      <alignment vertical="top"/>
    </xf>
    <xf numFmtId="0" fontId="21" fillId="4" borderId="0" xfId="0" applyFont="1" applyFill="1" applyBorder="1" applyAlignment="1" applyProtection="1">
      <alignment vertical="top"/>
    </xf>
    <xf numFmtId="0" fontId="21" fillId="4" borderId="17" xfId="0" applyFont="1" applyFill="1" applyBorder="1" applyAlignment="1" applyProtection="1">
      <alignment vertical="top"/>
    </xf>
    <xf numFmtId="0" fontId="3" fillId="5" borderId="1" xfId="0" applyFont="1" applyFill="1" applyBorder="1" applyAlignment="1">
      <alignment horizontal="center" vertical="center" textRotation="255" wrapText="1" readingOrder="1"/>
    </xf>
    <xf numFmtId="0" fontId="24" fillId="11" borderId="36" xfId="0" applyFont="1" applyFill="1" applyBorder="1" applyAlignment="1">
      <alignment horizontal="center" vertical="center" wrapText="1"/>
    </xf>
    <xf numFmtId="0" fontId="24" fillId="11" borderId="37" xfId="0" applyFont="1" applyFill="1" applyBorder="1" applyAlignment="1">
      <alignment horizontal="center" vertical="center" wrapText="1"/>
    </xf>
    <xf numFmtId="0" fontId="24" fillId="11" borderId="39" xfId="0" applyFont="1" applyFill="1" applyBorder="1" applyAlignment="1">
      <alignment horizontal="center" vertical="center" wrapText="1"/>
    </xf>
    <xf numFmtId="0" fontId="24" fillId="11" borderId="40" xfId="0" applyFont="1" applyFill="1" applyBorder="1" applyAlignment="1">
      <alignment horizontal="center" vertical="center" wrapText="1"/>
    </xf>
    <xf numFmtId="0" fontId="24" fillId="11" borderId="38" xfId="0" applyFont="1" applyFill="1" applyBorder="1" applyAlignment="1">
      <alignment horizontal="center" vertical="center" wrapText="1"/>
    </xf>
    <xf numFmtId="0" fontId="3" fillId="0" borderId="1" xfId="0" applyFont="1" applyBorder="1" applyAlignment="1">
      <alignment vertical="top" wrapText="1"/>
    </xf>
    <xf numFmtId="0" fontId="11" fillId="9" borderId="9" xfId="0" applyFont="1" applyFill="1" applyBorder="1" applyAlignment="1" applyProtection="1">
      <alignment horizontal="left" vertical="top"/>
      <protection locked="0"/>
    </xf>
    <xf numFmtId="0" fontId="11" fillId="9" borderId="14" xfId="0" applyFont="1" applyFill="1" applyBorder="1" applyAlignment="1" applyProtection="1">
      <alignment horizontal="left" vertical="top"/>
      <protection locked="0"/>
    </xf>
    <xf numFmtId="0" fontId="11" fillId="9" borderId="10" xfId="0" applyFont="1" applyFill="1" applyBorder="1" applyAlignment="1" applyProtection="1">
      <alignment horizontal="left" vertical="top"/>
      <protection locked="0"/>
    </xf>
    <xf numFmtId="0" fontId="11" fillId="9" borderId="16" xfId="0" applyFont="1" applyFill="1" applyBorder="1" applyAlignment="1" applyProtection="1">
      <alignment horizontal="left" vertical="top"/>
      <protection locked="0"/>
    </xf>
    <xf numFmtId="0" fontId="11" fillId="9" borderId="0" xfId="0" applyFont="1" applyFill="1" applyBorder="1" applyAlignment="1" applyProtection="1">
      <alignment horizontal="left" vertical="top"/>
      <protection locked="0"/>
    </xf>
    <xf numFmtId="0" fontId="11" fillId="9" borderId="17" xfId="0" applyFont="1" applyFill="1" applyBorder="1" applyAlignment="1" applyProtection="1">
      <alignment horizontal="left" vertical="top"/>
      <protection locked="0"/>
    </xf>
    <xf numFmtId="0" fontId="11" fillId="9" borderId="11" xfId="0" applyFont="1" applyFill="1" applyBorder="1" applyAlignment="1" applyProtection="1">
      <alignment horizontal="left" vertical="top"/>
      <protection locked="0"/>
    </xf>
    <xf numFmtId="0" fontId="11" fillId="9" borderId="15" xfId="0" applyFont="1" applyFill="1" applyBorder="1" applyAlignment="1" applyProtection="1">
      <alignment horizontal="left" vertical="top"/>
      <protection locked="0"/>
    </xf>
    <xf numFmtId="0" fontId="11" fillId="9" borderId="12" xfId="0" applyFont="1" applyFill="1" applyBorder="1" applyAlignment="1" applyProtection="1">
      <alignment horizontal="left" vertical="top"/>
      <protection locked="0"/>
    </xf>
    <xf numFmtId="0" fontId="11" fillId="9" borderId="9" xfId="0" applyFont="1" applyFill="1" applyBorder="1" applyAlignment="1" applyProtection="1">
      <alignment vertical="top" wrapText="1"/>
      <protection locked="0"/>
    </xf>
    <xf numFmtId="0" fontId="11" fillId="9" borderId="14" xfId="0" applyFont="1" applyFill="1" applyBorder="1" applyAlignment="1" applyProtection="1">
      <alignment vertical="top" wrapText="1"/>
      <protection locked="0"/>
    </xf>
    <xf numFmtId="0" fontId="11" fillId="9" borderId="10" xfId="0" applyFont="1" applyFill="1" applyBorder="1" applyAlignment="1" applyProtection="1">
      <alignment vertical="top" wrapText="1"/>
      <protection locked="0"/>
    </xf>
    <xf numFmtId="0" fontId="11" fillId="9" borderId="16" xfId="0" applyFont="1" applyFill="1" applyBorder="1" applyAlignment="1" applyProtection="1">
      <alignment vertical="top" wrapText="1"/>
      <protection locked="0"/>
    </xf>
    <xf numFmtId="0" fontId="11" fillId="9" borderId="0" xfId="0" applyFont="1" applyFill="1" applyBorder="1" applyAlignment="1" applyProtection="1">
      <alignment vertical="top" wrapText="1"/>
      <protection locked="0"/>
    </xf>
    <xf numFmtId="0" fontId="11" fillId="9" borderId="17" xfId="0" applyFont="1" applyFill="1" applyBorder="1" applyAlignment="1" applyProtection="1">
      <alignment vertical="top" wrapText="1"/>
      <protection locked="0"/>
    </xf>
  </cellXfs>
  <cellStyles count="8">
    <cellStyle name="パーセント" xfId="5" builtinId="5"/>
    <cellStyle name="パーセント 2" xfId="2" xr:uid="{00000000-0005-0000-0000-000001000000}"/>
    <cellStyle name="桁区切り" xfId="4" builtinId="6"/>
    <cellStyle name="標準" xfId="0" builtinId="0"/>
    <cellStyle name="標準 2" xfId="1" xr:uid="{00000000-0005-0000-0000-000004000000}"/>
    <cellStyle name="標準 2 2" xfId="6" xr:uid="{00000000-0005-0000-0000-000005000000}"/>
    <cellStyle name="標準 3" xfId="3" xr:uid="{00000000-0005-0000-0000-000006000000}"/>
    <cellStyle name="標準 3 2" xfId="7" xr:uid="{00000000-0005-0000-0000-000007000000}"/>
  </cellStyles>
  <dxfs count="0"/>
  <tableStyles count="0" defaultTableStyle="TableStyleMedium2" defaultPivotStyle="PivotStyleLight16"/>
  <colors>
    <mruColors>
      <color rgb="FF0000CC"/>
      <color rgb="FFCCFFFF"/>
      <color rgb="FFFFFF99"/>
      <color rgb="FFCCFF99"/>
      <color rgb="FFCCECFF"/>
      <color rgb="FFFFFF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448236</xdr:colOff>
      <xdr:row>3</xdr:row>
      <xdr:rowOff>728382</xdr:rowOff>
    </xdr:from>
    <xdr:to>
      <xdr:col>6</xdr:col>
      <xdr:colOff>1423147</xdr:colOff>
      <xdr:row>4</xdr:row>
      <xdr:rowOff>616324</xdr:rowOff>
    </xdr:to>
    <xdr:sp macro="" textlink="">
      <xdr:nvSpPr>
        <xdr:cNvPr id="3" name="四角形吹き出し 2">
          <a:extLst>
            <a:ext uri="{FF2B5EF4-FFF2-40B4-BE49-F238E27FC236}">
              <a16:creationId xmlns:a16="http://schemas.microsoft.com/office/drawing/2014/main" id="{00000000-0008-0000-0200-000003000000}"/>
            </a:ext>
          </a:extLst>
        </xdr:cNvPr>
        <xdr:cNvSpPr/>
      </xdr:nvSpPr>
      <xdr:spPr>
        <a:xfrm>
          <a:off x="8415618" y="1434353"/>
          <a:ext cx="3160058" cy="1064559"/>
        </a:xfrm>
        <a:prstGeom prst="wedgeRectCallout">
          <a:avLst>
            <a:gd name="adj1" fmla="val -62183"/>
            <a:gd name="adj2" fmla="val 13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b="1"/>
            <a:t>事業所の</a:t>
          </a:r>
          <a:r>
            <a:rPr kumimoji="1" lang="en-US" altLang="ja-JP" sz="2400" b="1"/>
            <a:t>TCIP</a:t>
          </a:r>
          <a:r>
            <a:rPr kumimoji="1" lang="ja-JP" altLang="en-US" sz="2400" b="1"/>
            <a:t>を設定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pageSetUpPr fitToPage="1"/>
  </sheetPr>
  <dimension ref="A1:AH58"/>
  <sheetViews>
    <sheetView showGridLines="0" tabSelected="1" topLeftCell="A34" zoomScale="85" zoomScaleNormal="85" zoomScaleSheetLayoutView="70" workbookViewId="0">
      <selection activeCell="G43" sqref="G43:S43"/>
    </sheetView>
  </sheetViews>
  <sheetFormatPr defaultColWidth="4.75" defaultRowHeight="14.25" outlineLevelCol="1" x14ac:dyDescent="0.15"/>
  <cols>
    <col min="1" max="17" width="6" style="12" customWidth="1"/>
    <col min="18" max="18" width="8" style="12" bestFit="1" customWidth="1"/>
    <col min="19" max="19" width="6" style="12" customWidth="1"/>
    <col min="20" max="20" width="8.5" style="12" bestFit="1" customWidth="1"/>
    <col min="21" max="26" width="6" style="12" customWidth="1"/>
    <col min="27" max="28" width="6" style="15" customWidth="1"/>
    <col min="29" max="29" width="4" style="15" customWidth="1"/>
    <col min="30" max="30" width="16" style="26" customWidth="1"/>
    <col min="31" max="33" width="8.125" style="12" hidden="1" customWidth="1" outlineLevel="1"/>
    <col min="34" max="34" width="4.75" style="12" collapsed="1"/>
    <col min="35" max="16384" width="4.75" style="12"/>
  </cols>
  <sheetData>
    <row r="1" spans="1:33" ht="23.25" customHeight="1" thickBot="1" x14ac:dyDescent="0.2">
      <c r="A1" s="253" t="s">
        <v>173</v>
      </c>
      <c r="B1" s="253"/>
      <c r="C1" s="253"/>
      <c r="D1" s="253"/>
      <c r="E1" s="253"/>
      <c r="F1" s="253"/>
      <c r="G1" s="253"/>
      <c r="H1" s="253"/>
      <c r="I1" s="253"/>
      <c r="J1" s="253"/>
      <c r="K1" s="253"/>
      <c r="L1" s="253"/>
      <c r="M1" s="253"/>
      <c r="N1" s="253"/>
      <c r="O1" s="253"/>
      <c r="P1" s="253"/>
      <c r="Q1" s="253"/>
      <c r="R1" s="253"/>
      <c r="S1" s="253"/>
      <c r="T1" s="253"/>
      <c r="U1" s="253"/>
      <c r="V1" s="253"/>
      <c r="W1" s="253"/>
      <c r="X1" s="253"/>
      <c r="Y1" s="253"/>
      <c r="Z1" s="253"/>
      <c r="AA1" s="253"/>
      <c r="AB1" s="253"/>
      <c r="AC1" s="64"/>
      <c r="AD1" s="65" t="s">
        <v>145</v>
      </c>
    </row>
    <row r="2" spans="1:33" ht="23.25" customHeight="1" thickBot="1" x14ac:dyDescent="0.2">
      <c r="A2" s="230" t="s">
        <v>55</v>
      </c>
      <c r="B2" s="231"/>
      <c r="C2" s="254">
        <v>2025</v>
      </c>
      <c r="D2" s="255"/>
      <c r="E2" s="256" t="s">
        <v>248</v>
      </c>
      <c r="F2" s="257"/>
      <c r="G2" s="13"/>
      <c r="H2" s="14"/>
      <c r="I2" s="14"/>
      <c r="J2" s="14"/>
      <c r="K2" s="14"/>
      <c r="L2" s="14"/>
      <c r="M2" s="14"/>
      <c r="N2" s="14"/>
      <c r="O2" s="14"/>
      <c r="P2" s="14"/>
      <c r="Q2" s="14"/>
      <c r="R2" s="14"/>
      <c r="S2" s="14"/>
      <c r="T2" s="14"/>
      <c r="U2" s="14"/>
      <c r="V2" s="14"/>
      <c r="W2" s="14"/>
      <c r="X2" s="14"/>
      <c r="Y2" s="258" t="s">
        <v>54</v>
      </c>
      <c r="Z2" s="258"/>
      <c r="AA2" s="258" t="s">
        <v>53</v>
      </c>
      <c r="AB2" s="258"/>
      <c r="AC2" s="64"/>
      <c r="AD2" s="22" t="s">
        <v>146</v>
      </c>
    </row>
    <row r="3" spans="1:33" ht="23.25" customHeight="1" thickBot="1" x14ac:dyDescent="0.2">
      <c r="A3" s="230" t="s">
        <v>46</v>
      </c>
      <c r="B3" s="231"/>
      <c r="C3" s="259" t="s">
        <v>249</v>
      </c>
      <c r="D3" s="260"/>
      <c r="E3" s="230" t="s">
        <v>47</v>
      </c>
      <c r="F3" s="231"/>
      <c r="G3" s="259" t="s">
        <v>250</v>
      </c>
      <c r="H3" s="261"/>
      <c r="I3" s="260"/>
      <c r="J3" s="230" t="s">
        <v>50</v>
      </c>
      <c r="K3" s="231"/>
      <c r="L3" s="259" t="s">
        <v>276</v>
      </c>
      <c r="M3" s="261"/>
      <c r="N3" s="260"/>
      <c r="O3" s="230" t="s">
        <v>187</v>
      </c>
      <c r="P3" s="231"/>
      <c r="Q3" s="262" t="s">
        <v>195</v>
      </c>
      <c r="R3" s="263"/>
      <c r="S3" s="263"/>
      <c r="T3" s="263"/>
      <c r="U3" s="263"/>
      <c r="V3" s="263"/>
      <c r="W3" s="263"/>
      <c r="X3" s="263"/>
      <c r="Y3" s="264" t="str">
        <f>IF(AB23=0,"-",AB23)</f>
        <v>-</v>
      </c>
      <c r="Z3" s="265"/>
      <c r="AA3" s="265" t="str">
        <f>AB52</f>
        <v>-</v>
      </c>
      <c r="AB3" s="265"/>
      <c r="AC3" s="64"/>
      <c r="AD3" s="66" t="s">
        <v>147</v>
      </c>
    </row>
    <row r="4" spans="1:33" ht="23.25" customHeight="1" thickBot="1" x14ac:dyDescent="0.2">
      <c r="A4" s="230" t="s">
        <v>49</v>
      </c>
      <c r="B4" s="231"/>
      <c r="C4" s="266">
        <v>45870</v>
      </c>
      <c r="D4" s="267"/>
      <c r="E4" s="230" t="s">
        <v>48</v>
      </c>
      <c r="F4" s="231"/>
      <c r="G4" s="246" t="s">
        <v>253</v>
      </c>
      <c r="H4" s="247"/>
      <c r="I4" s="247"/>
      <c r="J4" s="247"/>
      <c r="K4" s="247"/>
      <c r="L4" s="247"/>
      <c r="M4" s="247"/>
      <c r="N4" s="247"/>
      <c r="O4" s="247"/>
      <c r="P4" s="247"/>
      <c r="Q4" s="247"/>
      <c r="R4" s="247"/>
      <c r="S4" s="247"/>
      <c r="T4" s="247"/>
      <c r="U4" s="247"/>
      <c r="V4" s="247"/>
      <c r="W4" s="247"/>
      <c r="X4" s="248"/>
      <c r="Y4" s="265"/>
      <c r="Z4" s="265"/>
      <c r="AA4" s="265"/>
      <c r="AB4" s="265"/>
      <c r="AC4" s="64"/>
    </row>
    <row r="5" spans="1:33" ht="12.75" customHeight="1" x14ac:dyDescent="0.15">
      <c r="AC5" s="64"/>
    </row>
    <row r="6" spans="1:33" ht="12.75" customHeight="1" x14ac:dyDescent="0.15">
      <c r="A6" s="12" t="s">
        <v>112</v>
      </c>
      <c r="AC6" s="64"/>
    </row>
    <row r="7" spans="1:33" ht="23.25" customHeight="1" x14ac:dyDescent="0.15">
      <c r="A7" s="249"/>
      <c r="B7" s="250"/>
      <c r="C7" s="250"/>
      <c r="D7" s="251"/>
      <c r="E7" s="249" t="s">
        <v>114</v>
      </c>
      <c r="F7" s="250"/>
      <c r="G7" s="251"/>
      <c r="H7" s="249" t="s">
        <v>113</v>
      </c>
      <c r="I7" s="250"/>
      <c r="J7" s="250"/>
      <c r="K7" s="250"/>
      <c r="L7" s="250"/>
      <c r="M7" s="251"/>
      <c r="N7" s="249" t="s">
        <v>110</v>
      </c>
      <c r="O7" s="250"/>
      <c r="P7" s="250"/>
      <c r="Q7" s="250"/>
      <c r="R7" s="250"/>
      <c r="S7" s="250"/>
      <c r="T7" s="251"/>
      <c r="U7" s="252" t="s">
        <v>111</v>
      </c>
      <c r="V7" s="252"/>
      <c r="W7" s="252"/>
      <c r="X7" s="252"/>
      <c r="Y7" s="252"/>
      <c r="Z7" s="252"/>
      <c r="AA7" s="252"/>
      <c r="AB7" s="252"/>
      <c r="AC7" s="64"/>
    </row>
    <row r="8" spans="1:33" ht="23.25" customHeight="1" x14ac:dyDescent="0.15">
      <c r="A8" s="235" t="s">
        <v>105</v>
      </c>
      <c r="B8" s="235"/>
      <c r="C8" s="235"/>
      <c r="D8" s="235"/>
      <c r="E8" s="236" t="s">
        <v>269</v>
      </c>
      <c r="F8" s="237"/>
      <c r="G8" s="238"/>
      <c r="H8" s="236" t="s">
        <v>268</v>
      </c>
      <c r="I8" s="237"/>
      <c r="J8" s="237"/>
      <c r="K8" s="237"/>
      <c r="L8" s="237"/>
      <c r="M8" s="238"/>
      <c r="N8" s="45">
        <v>11</v>
      </c>
      <c r="O8" s="16" t="s">
        <v>107</v>
      </c>
      <c r="P8" s="46">
        <v>6</v>
      </c>
      <c r="Q8" s="16" t="s">
        <v>108</v>
      </c>
      <c r="R8" s="140">
        <v>0.75</v>
      </c>
      <c r="S8" s="16" t="s">
        <v>109</v>
      </c>
      <c r="T8" s="141">
        <v>0.77083333333333337</v>
      </c>
      <c r="U8" s="236" t="s">
        <v>275</v>
      </c>
      <c r="V8" s="237"/>
      <c r="W8" s="237"/>
      <c r="X8" s="237"/>
      <c r="Y8" s="237"/>
      <c r="Z8" s="237"/>
      <c r="AA8" s="237"/>
      <c r="AB8" s="238"/>
      <c r="AC8" s="64"/>
    </row>
    <row r="9" spans="1:33" ht="23.25" customHeight="1" x14ac:dyDescent="0.15">
      <c r="A9" s="235" t="s">
        <v>106</v>
      </c>
      <c r="B9" s="235"/>
      <c r="C9" s="235"/>
      <c r="D9" s="235"/>
      <c r="E9" s="236"/>
      <c r="F9" s="237"/>
      <c r="G9" s="238"/>
      <c r="H9" s="236"/>
      <c r="I9" s="237"/>
      <c r="J9" s="237"/>
      <c r="K9" s="237"/>
      <c r="L9" s="237"/>
      <c r="M9" s="238"/>
      <c r="N9" s="45">
        <v>4</v>
      </c>
      <c r="O9" s="16" t="s">
        <v>107</v>
      </c>
      <c r="P9" s="46">
        <v>17</v>
      </c>
      <c r="Q9" s="16" t="s">
        <v>108</v>
      </c>
      <c r="R9" s="46"/>
      <c r="S9" s="16" t="s">
        <v>109</v>
      </c>
      <c r="T9" s="47"/>
      <c r="U9" s="236"/>
      <c r="V9" s="237"/>
      <c r="W9" s="237"/>
      <c r="X9" s="237"/>
      <c r="Y9" s="237"/>
      <c r="Z9" s="237"/>
      <c r="AA9" s="237"/>
      <c r="AB9" s="238"/>
      <c r="AC9" s="64"/>
    </row>
    <row r="10" spans="1:33" ht="12.75" customHeight="1" x14ac:dyDescent="0.15">
      <c r="AC10" s="64"/>
    </row>
    <row r="11" spans="1:33" ht="23.25" customHeight="1" x14ac:dyDescent="0.15">
      <c r="A11" s="51" t="s">
        <v>51</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8"/>
      <c r="AB11" s="18"/>
      <c r="AC11" s="64"/>
    </row>
    <row r="12" spans="1:33" ht="12.75" customHeight="1" x14ac:dyDescent="0.1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64"/>
      <c r="AD12" s="67"/>
    </row>
    <row r="13" spans="1:33" ht="24" customHeight="1" x14ac:dyDescent="0.25">
      <c r="A13" s="20"/>
      <c r="Q13" s="23"/>
      <c r="R13" s="24">
        <f>1-$Q$22</f>
        <v>0</v>
      </c>
      <c r="AA13" s="12"/>
      <c r="AB13" s="12"/>
      <c r="AC13" s="64"/>
    </row>
    <row r="14" spans="1:33" ht="21.75" customHeight="1" x14ac:dyDescent="0.15">
      <c r="A14" s="241" t="s">
        <v>14</v>
      </c>
      <c r="B14" s="242"/>
      <c r="C14" s="242"/>
      <c r="D14" s="242"/>
      <c r="E14" s="242"/>
      <c r="F14" s="242"/>
      <c r="G14" s="242"/>
      <c r="H14" s="242"/>
      <c r="I14" s="242"/>
      <c r="J14" s="242"/>
      <c r="K14" s="242"/>
      <c r="L14" s="242"/>
      <c r="M14" s="242"/>
      <c r="N14" s="242"/>
      <c r="O14" s="242"/>
      <c r="P14" s="243"/>
      <c r="Q14" s="171" t="s">
        <v>1</v>
      </c>
      <c r="R14" s="171" t="s">
        <v>7</v>
      </c>
      <c r="S14" s="173" t="s">
        <v>5</v>
      </c>
      <c r="T14" s="174"/>
      <c r="U14" s="174"/>
      <c r="V14" s="175"/>
      <c r="W14" s="173" t="s">
        <v>6</v>
      </c>
      <c r="X14" s="174"/>
      <c r="Y14" s="174"/>
      <c r="Z14" s="174"/>
      <c r="AA14" s="174"/>
      <c r="AB14" s="239" t="s">
        <v>104</v>
      </c>
      <c r="AC14" s="64"/>
    </row>
    <row r="15" spans="1:33" ht="21.75" customHeight="1" x14ac:dyDescent="0.15">
      <c r="A15" s="245" t="s">
        <v>0</v>
      </c>
      <c r="B15" s="156"/>
      <c r="C15" s="156"/>
      <c r="D15" s="156"/>
      <c r="E15" s="156"/>
      <c r="F15" s="27" t="s">
        <v>15</v>
      </c>
      <c r="G15" s="156" t="s">
        <v>16</v>
      </c>
      <c r="H15" s="156"/>
      <c r="I15" s="156"/>
      <c r="J15" s="156"/>
      <c r="K15" s="156"/>
      <c r="L15" s="156" t="s">
        <v>20</v>
      </c>
      <c r="M15" s="156"/>
      <c r="N15" s="156"/>
      <c r="O15" s="156"/>
      <c r="P15" s="244"/>
      <c r="Q15" s="172"/>
      <c r="R15" s="172"/>
      <c r="S15" s="53" t="s">
        <v>2</v>
      </c>
      <c r="T15" s="173" t="s">
        <v>3</v>
      </c>
      <c r="U15" s="174"/>
      <c r="V15" s="175"/>
      <c r="W15" s="53" t="s">
        <v>2</v>
      </c>
      <c r="X15" s="173" t="s">
        <v>4</v>
      </c>
      <c r="Y15" s="174"/>
      <c r="Z15" s="175"/>
      <c r="AA15" s="52" t="s">
        <v>13</v>
      </c>
      <c r="AB15" s="240"/>
      <c r="AC15" s="64"/>
      <c r="AE15" s="68" t="s">
        <v>159</v>
      </c>
      <c r="AF15" s="69" t="s">
        <v>156</v>
      </c>
      <c r="AG15" s="69" t="s">
        <v>157</v>
      </c>
    </row>
    <row r="16" spans="1:33" s="26" customFormat="1" ht="138.75" customHeight="1" x14ac:dyDescent="0.15">
      <c r="A16" s="184" t="s">
        <v>252</v>
      </c>
      <c r="B16" s="180"/>
      <c r="C16" s="180"/>
      <c r="D16" s="180"/>
      <c r="E16" s="181"/>
      <c r="F16" s="83" t="s">
        <v>251</v>
      </c>
      <c r="G16" s="157" t="s">
        <v>254</v>
      </c>
      <c r="H16" s="157"/>
      <c r="I16" s="157"/>
      <c r="J16" s="157"/>
      <c r="K16" s="157"/>
      <c r="L16" s="157" t="s">
        <v>270</v>
      </c>
      <c r="M16" s="157"/>
      <c r="N16" s="157"/>
      <c r="O16" s="157"/>
      <c r="P16" s="183"/>
      <c r="Q16" s="48" t="s">
        <v>61</v>
      </c>
      <c r="R16" s="48">
        <v>0.2</v>
      </c>
      <c r="S16" s="49" t="s">
        <v>73</v>
      </c>
      <c r="T16" s="176" t="s">
        <v>278</v>
      </c>
      <c r="U16" s="177"/>
      <c r="V16" s="178"/>
      <c r="W16" s="50"/>
      <c r="X16" s="162"/>
      <c r="Y16" s="163"/>
      <c r="Z16" s="164"/>
      <c r="AA16" s="25" t="str">
        <f>IF(COUNTA(Q16,R16,W16)=3,VLOOKUP(Q16&amp;W16,TBL!F:G,2,0),"")</f>
        <v/>
      </c>
      <c r="AB16" s="21" t="str">
        <f>IF(AND(AE16="OK",AA16&lt;&gt;""),R16*AA16,"")</f>
        <v/>
      </c>
      <c r="AC16" s="64" t="str">
        <f>IF(AD16&lt;&gt;"","←","")</f>
        <v>←</v>
      </c>
      <c r="AD16" s="26" t="str">
        <f>IF(COUNTA(A16:R16)=0,"",IF(COUNTIF(AE16:AG16,"OK")=3,"OK",IF(COUNTIF(AE16:AF16,"OK")=2,"・目標設定OK"&amp;CHAR(10)&amp;AG16,IF(AE16="OK",AF16,IF(AF16="OK",AE16,AF16&amp;CHAR(10)&amp;AE16)))))</f>
        <v>・目標設定OK
・上司評価未入力</v>
      </c>
      <c r="AE16" s="70" t="str">
        <f>IF(COUNTA(A16:R16)&lt;&gt;0,IF($Q$22&lt;&gt;1,"・ウェイト確認","OK"),"-")</f>
        <v>OK</v>
      </c>
      <c r="AF16" s="70" t="str">
        <f>IF(COUNTA(A16:R16)&lt;&gt;0,IF(COUNTA(A16:R16)&lt;&gt;6,"・未入力項目あり","OK"),"-")</f>
        <v>OK</v>
      </c>
      <c r="AG16" s="70" t="str">
        <f t="shared" ref="AG16:AG21" si="0">IF(AF16="OK",IF(W16&lt;&gt;"","OK","・上司評価未入力"),"-")</f>
        <v>・上司評価未入力</v>
      </c>
    </row>
    <row r="17" spans="1:33" s="26" customFormat="1" ht="138.75" customHeight="1" x14ac:dyDescent="0.15">
      <c r="A17" s="184" t="s">
        <v>255</v>
      </c>
      <c r="B17" s="180"/>
      <c r="C17" s="180"/>
      <c r="D17" s="180"/>
      <c r="E17" s="181"/>
      <c r="F17" s="83" t="s">
        <v>251</v>
      </c>
      <c r="G17" s="157" t="s">
        <v>272</v>
      </c>
      <c r="H17" s="157"/>
      <c r="I17" s="157"/>
      <c r="J17" s="157"/>
      <c r="K17" s="157"/>
      <c r="L17" s="157" t="s">
        <v>267</v>
      </c>
      <c r="M17" s="157"/>
      <c r="N17" s="157"/>
      <c r="O17" s="157"/>
      <c r="P17" s="183"/>
      <c r="Q17" s="48" t="s">
        <v>59</v>
      </c>
      <c r="R17" s="48">
        <v>0.2</v>
      </c>
      <c r="S17" s="49" t="s">
        <v>79</v>
      </c>
      <c r="T17" s="176" t="s">
        <v>279</v>
      </c>
      <c r="U17" s="177"/>
      <c r="V17" s="178"/>
      <c r="W17" s="50"/>
      <c r="X17" s="165"/>
      <c r="Y17" s="166"/>
      <c r="Z17" s="167"/>
      <c r="AA17" s="25" t="str">
        <f>IF(COUNTA(Q17,R17,W17)=3,VLOOKUP(Q17&amp;W17,TBL!F:G,2,0),"")</f>
        <v/>
      </c>
      <c r="AB17" s="21" t="str">
        <f t="shared" ref="AB17:AB21" si="1">IF(AND(AE17="OK",AA17&lt;&gt;""),R17*AA17,"")</f>
        <v/>
      </c>
      <c r="AC17" s="64" t="str">
        <f t="shared" ref="AC17:AC21" si="2">IF(AD17&lt;&gt;"","←","")</f>
        <v>←</v>
      </c>
      <c r="AD17" s="26" t="str">
        <f t="shared" ref="AD17:AD21" si="3">IF(COUNTA(A17:R17)=0,"",IF(COUNTIF(AE17:AG17,"OK")=3,"OK",IF(COUNTIF(AE17:AF17,"OK")=2,"・目標設定OK"&amp;CHAR(10)&amp;AG17,IF(AE17="OK",AF17,IF(AF17="OK",AE17,AF17&amp;CHAR(10)&amp;AE17)))))</f>
        <v>・目標設定OK
・上司評価未入力</v>
      </c>
      <c r="AE17" s="70" t="str">
        <f t="shared" ref="AE17:AE21" si="4">IF(COUNTA(A17:R17)&lt;&gt;0,IF($Q$22&lt;&gt;1,"・ウェイト確認","OK"),"-")</f>
        <v>OK</v>
      </c>
      <c r="AF17" s="70" t="str">
        <f t="shared" ref="AF17:AF21" si="5">IF(COUNTA(A17:R17)&lt;&gt;0,IF(COUNTA(A17:R17)&lt;&gt;6,"・未入力項目あり","OK"),"-")</f>
        <v>OK</v>
      </c>
      <c r="AG17" s="70" t="str">
        <f t="shared" si="0"/>
        <v>・上司評価未入力</v>
      </c>
    </row>
    <row r="18" spans="1:33" s="26" customFormat="1" ht="138.75" customHeight="1" x14ac:dyDescent="0.15">
      <c r="A18" s="184" t="s">
        <v>256</v>
      </c>
      <c r="B18" s="180"/>
      <c r="C18" s="180"/>
      <c r="D18" s="180"/>
      <c r="E18" s="181"/>
      <c r="F18" s="83" t="s">
        <v>251</v>
      </c>
      <c r="G18" s="157" t="s">
        <v>273</v>
      </c>
      <c r="H18" s="157"/>
      <c r="I18" s="157"/>
      <c r="J18" s="157"/>
      <c r="K18" s="157"/>
      <c r="L18" s="157" t="s">
        <v>274</v>
      </c>
      <c r="M18" s="157"/>
      <c r="N18" s="157"/>
      <c r="O18" s="157"/>
      <c r="P18" s="183"/>
      <c r="Q18" s="48" t="s">
        <v>61</v>
      </c>
      <c r="R18" s="48">
        <v>0.2</v>
      </c>
      <c r="S18" s="49" t="s">
        <v>76</v>
      </c>
      <c r="T18" s="176" t="s">
        <v>281</v>
      </c>
      <c r="U18" s="177"/>
      <c r="V18" s="178"/>
      <c r="W18" s="50"/>
      <c r="X18" s="165"/>
      <c r="Y18" s="166"/>
      <c r="Z18" s="167"/>
      <c r="AA18" s="25" t="str">
        <f>IF(COUNTA(Q18,R18,W18)=3,VLOOKUP(Q18&amp;W18,TBL!F:G,2,0),"")</f>
        <v/>
      </c>
      <c r="AB18" s="21" t="str">
        <f t="shared" si="1"/>
        <v/>
      </c>
      <c r="AC18" s="64" t="str">
        <f t="shared" si="2"/>
        <v>←</v>
      </c>
      <c r="AD18" s="26" t="str">
        <f t="shared" si="3"/>
        <v>・目標設定OK
・上司評価未入力</v>
      </c>
      <c r="AE18" s="70" t="str">
        <f t="shared" si="4"/>
        <v>OK</v>
      </c>
      <c r="AF18" s="70" t="str">
        <f t="shared" si="5"/>
        <v>OK</v>
      </c>
      <c r="AG18" s="70" t="str">
        <f t="shared" si="0"/>
        <v>・上司評価未入力</v>
      </c>
    </row>
    <row r="19" spans="1:33" s="26" customFormat="1" ht="138.75" customHeight="1" x14ac:dyDescent="0.15">
      <c r="A19" s="184" t="s">
        <v>264</v>
      </c>
      <c r="B19" s="180"/>
      <c r="C19" s="180"/>
      <c r="D19" s="180"/>
      <c r="E19" s="181"/>
      <c r="F19" s="83" t="s">
        <v>251</v>
      </c>
      <c r="G19" s="157" t="s">
        <v>261</v>
      </c>
      <c r="H19" s="157"/>
      <c r="I19" s="157"/>
      <c r="J19" s="157"/>
      <c r="K19" s="157"/>
      <c r="L19" s="157" t="s">
        <v>271</v>
      </c>
      <c r="M19" s="157"/>
      <c r="N19" s="157"/>
      <c r="O19" s="157"/>
      <c r="P19" s="183"/>
      <c r="Q19" s="48" t="s">
        <v>61</v>
      </c>
      <c r="R19" s="48">
        <v>0.2</v>
      </c>
      <c r="S19" s="49" t="s">
        <v>79</v>
      </c>
      <c r="T19" s="176" t="s">
        <v>280</v>
      </c>
      <c r="U19" s="177"/>
      <c r="V19" s="178"/>
      <c r="W19" s="50"/>
      <c r="X19" s="165"/>
      <c r="Y19" s="166"/>
      <c r="Z19" s="167"/>
      <c r="AA19" s="25" t="str">
        <f>IF(COUNTA(Q19,R19,W19)=3,VLOOKUP(Q19&amp;W19,TBL!F:G,2,0),"")</f>
        <v/>
      </c>
      <c r="AB19" s="21" t="str">
        <f t="shared" si="1"/>
        <v/>
      </c>
      <c r="AC19" s="64" t="str">
        <f t="shared" si="2"/>
        <v>←</v>
      </c>
      <c r="AD19" s="26" t="str">
        <f t="shared" si="3"/>
        <v>・目標設定OK
・上司評価未入力</v>
      </c>
      <c r="AE19" s="70" t="str">
        <f t="shared" si="4"/>
        <v>OK</v>
      </c>
      <c r="AF19" s="70" t="str">
        <f t="shared" si="5"/>
        <v>OK</v>
      </c>
      <c r="AG19" s="70" t="str">
        <f t="shared" si="0"/>
        <v>・上司評価未入力</v>
      </c>
    </row>
    <row r="20" spans="1:33" s="26" customFormat="1" ht="138.75" customHeight="1" x14ac:dyDescent="0.15">
      <c r="A20" s="184" t="s">
        <v>265</v>
      </c>
      <c r="B20" s="180"/>
      <c r="C20" s="180"/>
      <c r="D20" s="180"/>
      <c r="E20" s="181"/>
      <c r="F20" s="83" t="s">
        <v>260</v>
      </c>
      <c r="G20" s="179" t="s">
        <v>266</v>
      </c>
      <c r="H20" s="180"/>
      <c r="I20" s="180"/>
      <c r="J20" s="180"/>
      <c r="K20" s="181"/>
      <c r="L20" s="179" t="s">
        <v>262</v>
      </c>
      <c r="M20" s="180"/>
      <c r="N20" s="180"/>
      <c r="O20" s="180"/>
      <c r="P20" s="182"/>
      <c r="Q20" s="48" t="s">
        <v>61</v>
      </c>
      <c r="R20" s="48">
        <v>0.2</v>
      </c>
      <c r="S20" s="49" t="s">
        <v>79</v>
      </c>
      <c r="T20" s="176" t="s">
        <v>277</v>
      </c>
      <c r="U20" s="177"/>
      <c r="V20" s="178"/>
      <c r="W20" s="50"/>
      <c r="X20" s="165"/>
      <c r="Y20" s="166"/>
      <c r="Z20" s="167"/>
      <c r="AA20" s="25" t="str">
        <f>IF(COUNTA(Q20,R20,W20)=3,VLOOKUP(Q20&amp;W20,TBL!F:G,2,0),"")</f>
        <v/>
      </c>
      <c r="AB20" s="21" t="str">
        <f t="shared" si="1"/>
        <v/>
      </c>
      <c r="AC20" s="64" t="str">
        <f t="shared" si="2"/>
        <v>←</v>
      </c>
      <c r="AD20" s="26" t="str">
        <f t="shared" si="3"/>
        <v>・目標設定OK
・上司評価未入力</v>
      </c>
      <c r="AE20" s="70" t="str">
        <f t="shared" si="4"/>
        <v>OK</v>
      </c>
      <c r="AF20" s="70" t="str">
        <f t="shared" si="5"/>
        <v>OK</v>
      </c>
      <c r="AG20" s="70" t="str">
        <f t="shared" si="0"/>
        <v>・上司評価未入力</v>
      </c>
    </row>
    <row r="21" spans="1:33" s="26" customFormat="1" ht="138.75" customHeight="1" x14ac:dyDescent="0.15">
      <c r="A21" s="184"/>
      <c r="B21" s="180"/>
      <c r="C21" s="180"/>
      <c r="D21" s="180"/>
      <c r="E21" s="181"/>
      <c r="F21" s="83"/>
      <c r="G21" s="179"/>
      <c r="H21" s="180"/>
      <c r="I21" s="180"/>
      <c r="J21" s="180"/>
      <c r="K21" s="181"/>
      <c r="L21" s="179"/>
      <c r="M21" s="180"/>
      <c r="N21" s="180"/>
      <c r="O21" s="180"/>
      <c r="P21" s="182"/>
      <c r="Q21" s="48"/>
      <c r="R21" s="48"/>
      <c r="S21" s="49"/>
      <c r="T21" s="176"/>
      <c r="U21" s="177"/>
      <c r="V21" s="178"/>
      <c r="W21" s="50"/>
      <c r="X21" s="168"/>
      <c r="Y21" s="169"/>
      <c r="Z21" s="170"/>
      <c r="AA21" s="25" t="str">
        <f>IF(COUNTA(Q21,R21,W21)=3,VLOOKUP(Q21&amp;W21,TBL!F:G,2,0),"")</f>
        <v/>
      </c>
      <c r="AB21" s="21" t="str">
        <f t="shared" si="1"/>
        <v/>
      </c>
      <c r="AC21" s="64" t="str">
        <f t="shared" si="2"/>
        <v/>
      </c>
      <c r="AD21" s="26" t="str">
        <f t="shared" si="3"/>
        <v/>
      </c>
      <c r="AE21" s="70" t="str">
        <f t="shared" si="4"/>
        <v>-</v>
      </c>
      <c r="AF21" s="70" t="str">
        <f t="shared" si="5"/>
        <v>-</v>
      </c>
      <c r="AG21" s="70" t="str">
        <f t="shared" si="0"/>
        <v>-</v>
      </c>
    </row>
    <row r="22" spans="1:33" s="26" customFormat="1" ht="11.25" customHeight="1" x14ac:dyDescent="0.15">
      <c r="A22" s="28"/>
      <c r="B22" s="28"/>
      <c r="C22" s="28"/>
      <c r="D22" s="28"/>
      <c r="E22" s="28"/>
      <c r="F22" s="28"/>
      <c r="G22" s="29"/>
      <c r="H22" s="29"/>
      <c r="I22" s="29"/>
      <c r="J22" s="29"/>
      <c r="K22" s="30"/>
      <c r="L22" s="30"/>
      <c r="M22" s="30"/>
      <c r="N22" s="30"/>
      <c r="O22" s="30"/>
      <c r="P22" s="30"/>
      <c r="Q22" s="195">
        <f>SUM(R16:R21)</f>
        <v>1</v>
      </c>
      <c r="R22" s="195"/>
      <c r="S22" s="31"/>
      <c r="T22" s="30"/>
      <c r="U22" s="30"/>
      <c r="V22" s="30"/>
      <c r="W22" s="31"/>
      <c r="X22" s="30"/>
      <c r="Y22" s="30"/>
      <c r="Z22" s="30"/>
      <c r="AA22" s="32"/>
      <c r="AB22" s="32"/>
      <c r="AC22" s="64"/>
    </row>
    <row r="23" spans="1:33" ht="28.5" x14ac:dyDescent="0.15">
      <c r="C23" s="26" t="s">
        <v>143</v>
      </c>
      <c r="Q23" s="196"/>
      <c r="R23" s="196"/>
      <c r="S23" s="33"/>
      <c r="X23" s="232" t="s">
        <v>54</v>
      </c>
      <c r="Y23" s="233"/>
      <c r="Z23" s="233"/>
      <c r="AA23" s="234"/>
      <c r="AB23" s="34" t="str">
        <f>IF(COUNT(AB16:AB21)=COUNTIF(AE13:AE21,"OK"),SUM(AB16:AB21),"-")</f>
        <v>-</v>
      </c>
      <c r="AC23" s="64"/>
    </row>
    <row r="24" spans="1:33" x14ac:dyDescent="0.15">
      <c r="X24" s="12" t="s">
        <v>82</v>
      </c>
      <c r="AC24" s="64"/>
    </row>
    <row r="25" spans="1:33" ht="24" customHeight="1" x14ac:dyDescent="0.15">
      <c r="A25" s="54" t="s">
        <v>56</v>
      </c>
      <c r="B25" s="194" t="s">
        <v>45</v>
      </c>
      <c r="C25" s="194"/>
      <c r="D25" s="194"/>
      <c r="E25" s="194"/>
      <c r="F25" s="194"/>
      <c r="G25" s="194"/>
      <c r="J25" s="54" t="s">
        <v>65</v>
      </c>
      <c r="K25" s="194" t="s">
        <v>66</v>
      </c>
      <c r="L25" s="194"/>
      <c r="M25" s="194"/>
      <c r="N25" s="194"/>
      <c r="O25" s="194"/>
      <c r="P25" s="194"/>
      <c r="Q25" s="194"/>
      <c r="R25" s="194"/>
      <c r="S25" s="194"/>
      <c r="T25" s="194"/>
      <c r="U25" s="194"/>
      <c r="X25" s="35" t="s">
        <v>115</v>
      </c>
      <c r="Y25" s="54" t="s">
        <v>57</v>
      </c>
      <c r="Z25" s="54" t="s">
        <v>59</v>
      </c>
      <c r="AA25" s="54" t="s">
        <v>61</v>
      </c>
      <c r="AB25" s="54" t="s">
        <v>63</v>
      </c>
      <c r="AC25" s="64"/>
    </row>
    <row r="26" spans="1:33" ht="23.25" customHeight="1" x14ac:dyDescent="0.15">
      <c r="A26" s="36" t="s">
        <v>57</v>
      </c>
      <c r="B26" s="197" t="s">
        <v>58</v>
      </c>
      <c r="C26" s="197"/>
      <c r="D26" s="197"/>
      <c r="E26" s="197"/>
      <c r="F26" s="197"/>
      <c r="G26" s="197"/>
      <c r="J26" s="37" t="s">
        <v>67</v>
      </c>
      <c r="K26" s="158" t="s">
        <v>68</v>
      </c>
      <c r="L26" s="158"/>
      <c r="M26" s="158"/>
      <c r="N26" s="158"/>
      <c r="O26" s="158"/>
      <c r="P26" s="158"/>
      <c r="Q26" s="158"/>
      <c r="R26" s="159" t="s">
        <v>69</v>
      </c>
      <c r="S26" s="160"/>
      <c r="T26" s="160"/>
      <c r="U26" s="161"/>
      <c r="X26" s="38" t="s">
        <v>67</v>
      </c>
      <c r="Y26" s="36">
        <v>80</v>
      </c>
      <c r="Z26" s="36">
        <v>70</v>
      </c>
      <c r="AA26" s="36">
        <v>55</v>
      </c>
      <c r="AB26" s="36">
        <v>45</v>
      </c>
      <c r="AC26" s="64"/>
    </row>
    <row r="27" spans="1:33" ht="23.25" customHeight="1" x14ac:dyDescent="0.15">
      <c r="A27" s="36" t="s">
        <v>59</v>
      </c>
      <c r="B27" s="197" t="s">
        <v>60</v>
      </c>
      <c r="C27" s="197"/>
      <c r="D27" s="197"/>
      <c r="E27" s="197"/>
      <c r="F27" s="197"/>
      <c r="G27" s="197"/>
      <c r="J27" s="37" t="s">
        <v>70</v>
      </c>
      <c r="K27" s="158" t="s">
        <v>71</v>
      </c>
      <c r="L27" s="158"/>
      <c r="M27" s="158"/>
      <c r="N27" s="158"/>
      <c r="O27" s="158"/>
      <c r="P27" s="158"/>
      <c r="Q27" s="158"/>
      <c r="R27" s="159" t="s">
        <v>72</v>
      </c>
      <c r="S27" s="160"/>
      <c r="T27" s="160"/>
      <c r="U27" s="161"/>
      <c r="X27" s="38" t="s">
        <v>70</v>
      </c>
      <c r="Y27" s="36">
        <v>65</v>
      </c>
      <c r="Z27" s="36">
        <v>55</v>
      </c>
      <c r="AA27" s="36">
        <v>45</v>
      </c>
      <c r="AB27" s="36">
        <v>35</v>
      </c>
      <c r="AC27" s="64"/>
    </row>
    <row r="28" spans="1:33" ht="23.25" customHeight="1" x14ac:dyDescent="0.15">
      <c r="A28" s="36" t="s">
        <v>61</v>
      </c>
      <c r="B28" s="197" t="s">
        <v>62</v>
      </c>
      <c r="C28" s="197"/>
      <c r="D28" s="197"/>
      <c r="E28" s="197"/>
      <c r="F28" s="197"/>
      <c r="G28" s="197"/>
      <c r="J28" s="39" t="s">
        <v>73</v>
      </c>
      <c r="K28" s="198" t="s">
        <v>74</v>
      </c>
      <c r="L28" s="198"/>
      <c r="M28" s="198"/>
      <c r="N28" s="198"/>
      <c r="O28" s="198"/>
      <c r="P28" s="198"/>
      <c r="Q28" s="198"/>
      <c r="R28" s="199" t="s">
        <v>75</v>
      </c>
      <c r="S28" s="200"/>
      <c r="T28" s="200"/>
      <c r="U28" s="201"/>
      <c r="X28" s="38" t="s">
        <v>73</v>
      </c>
      <c r="Y28" s="36">
        <v>55</v>
      </c>
      <c r="Z28" s="36">
        <v>45</v>
      </c>
      <c r="AA28" s="36">
        <v>35</v>
      </c>
      <c r="AB28" s="36">
        <v>25</v>
      </c>
      <c r="AC28" s="64"/>
    </row>
    <row r="29" spans="1:33" ht="23.25" customHeight="1" x14ac:dyDescent="0.15">
      <c r="A29" s="36" t="s">
        <v>63</v>
      </c>
      <c r="B29" s="197" t="s">
        <v>64</v>
      </c>
      <c r="C29" s="197"/>
      <c r="D29" s="197"/>
      <c r="E29" s="197"/>
      <c r="F29" s="197"/>
      <c r="G29" s="197"/>
      <c r="J29" s="37" t="s">
        <v>76</v>
      </c>
      <c r="K29" s="158" t="s">
        <v>77</v>
      </c>
      <c r="L29" s="158"/>
      <c r="M29" s="158"/>
      <c r="N29" s="158"/>
      <c r="O29" s="158"/>
      <c r="P29" s="158"/>
      <c r="Q29" s="158"/>
      <c r="R29" s="159" t="s">
        <v>78</v>
      </c>
      <c r="S29" s="160"/>
      <c r="T29" s="160"/>
      <c r="U29" s="161"/>
      <c r="X29" s="38" t="s">
        <v>76</v>
      </c>
      <c r="Y29" s="36">
        <v>40</v>
      </c>
      <c r="Z29" s="36">
        <v>30</v>
      </c>
      <c r="AA29" s="36">
        <v>25</v>
      </c>
      <c r="AB29" s="36">
        <v>15</v>
      </c>
      <c r="AC29" s="64"/>
    </row>
    <row r="30" spans="1:33" ht="23.25" customHeight="1" x14ac:dyDescent="0.15">
      <c r="J30" s="37" t="s">
        <v>79</v>
      </c>
      <c r="K30" s="158" t="s">
        <v>80</v>
      </c>
      <c r="L30" s="158"/>
      <c r="M30" s="158"/>
      <c r="N30" s="158"/>
      <c r="O30" s="158"/>
      <c r="P30" s="158"/>
      <c r="Q30" s="158"/>
      <c r="R30" s="159" t="s">
        <v>81</v>
      </c>
      <c r="S30" s="160"/>
      <c r="T30" s="160"/>
      <c r="U30" s="161"/>
      <c r="X30" s="38" t="s">
        <v>79</v>
      </c>
      <c r="Y30" s="36">
        <v>25</v>
      </c>
      <c r="Z30" s="36">
        <v>15</v>
      </c>
      <c r="AA30" s="36">
        <v>10</v>
      </c>
      <c r="AB30" s="36">
        <v>1</v>
      </c>
      <c r="AC30" s="64"/>
    </row>
    <row r="31" spans="1:33" ht="12.75" customHeight="1" x14ac:dyDescent="0.15">
      <c r="AC31" s="64"/>
    </row>
    <row r="32" spans="1:33" ht="23.25" customHeight="1" x14ac:dyDescent="0.15">
      <c r="A32" s="51" t="s">
        <v>52</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8"/>
      <c r="AB32" s="18"/>
      <c r="AC32" s="64"/>
    </row>
    <row r="33" spans="1:32" ht="16.5" customHeight="1" x14ac:dyDescent="0.15">
      <c r="AC33" s="64"/>
    </row>
    <row r="34" spans="1:32" ht="25.5" customHeight="1" x14ac:dyDescent="0.15">
      <c r="A34" s="185" t="s">
        <v>21</v>
      </c>
      <c r="B34" s="186"/>
      <c r="C34" s="186"/>
      <c r="D34" s="186"/>
      <c r="E34" s="186"/>
      <c r="F34" s="187"/>
      <c r="G34" s="185" t="s">
        <v>22</v>
      </c>
      <c r="H34" s="186"/>
      <c r="I34" s="186"/>
      <c r="J34" s="186"/>
      <c r="K34" s="186"/>
      <c r="L34" s="186"/>
      <c r="M34" s="186"/>
      <c r="N34" s="186"/>
      <c r="O34" s="186"/>
      <c r="P34" s="186"/>
      <c r="Q34" s="186"/>
      <c r="R34" s="186"/>
      <c r="S34" s="187"/>
      <c r="T34" s="191" t="s">
        <v>23</v>
      </c>
      <c r="U34" s="192"/>
      <c r="V34" s="192"/>
      <c r="W34" s="193"/>
      <c r="X34" s="191" t="s">
        <v>24</v>
      </c>
      <c r="Y34" s="192"/>
      <c r="Z34" s="192"/>
      <c r="AA34" s="192"/>
      <c r="AB34" s="193"/>
      <c r="AC34" s="64"/>
    </row>
    <row r="35" spans="1:32" ht="25.5" customHeight="1" x14ac:dyDescent="0.15">
      <c r="A35" s="188"/>
      <c r="B35" s="189"/>
      <c r="C35" s="189"/>
      <c r="D35" s="189"/>
      <c r="E35" s="189"/>
      <c r="F35" s="190"/>
      <c r="G35" s="188"/>
      <c r="H35" s="189"/>
      <c r="I35" s="189"/>
      <c r="J35" s="189"/>
      <c r="K35" s="189"/>
      <c r="L35" s="189"/>
      <c r="M35" s="189"/>
      <c r="N35" s="189"/>
      <c r="O35" s="189"/>
      <c r="P35" s="189"/>
      <c r="Q35" s="189"/>
      <c r="R35" s="189"/>
      <c r="S35" s="190"/>
      <c r="T35" s="40" t="s">
        <v>25</v>
      </c>
      <c r="U35" s="191" t="s">
        <v>26</v>
      </c>
      <c r="V35" s="192"/>
      <c r="W35" s="193"/>
      <c r="X35" s="41" t="s">
        <v>25</v>
      </c>
      <c r="Y35" s="191" t="s">
        <v>27</v>
      </c>
      <c r="Z35" s="192"/>
      <c r="AA35" s="193"/>
      <c r="AB35" s="41" t="s">
        <v>103</v>
      </c>
      <c r="AC35" s="64"/>
      <c r="AE35" s="69" t="s">
        <v>158</v>
      </c>
      <c r="AF35" s="69" t="s">
        <v>157</v>
      </c>
    </row>
    <row r="36" spans="1:32" ht="66" customHeight="1" x14ac:dyDescent="0.15">
      <c r="A36" s="145" t="s">
        <v>197</v>
      </c>
      <c r="B36" s="212" t="s">
        <v>198</v>
      </c>
      <c r="C36" s="213"/>
      <c r="D36" s="213"/>
      <c r="E36" s="213"/>
      <c r="F36" s="214"/>
      <c r="G36" s="215" t="str">
        <f>IF($Q$3="","",VLOOKUP(B36,①行動評価項目!B:G,VLOOKUP($Q$3,TBL!I:J,2,0),0))</f>
        <v>通り一辺倒な質疑応答ではなく対話者の状況を正しくヒアリングし、ひとりひとりの状況に合わせた案内を行います</v>
      </c>
      <c r="H36" s="216"/>
      <c r="I36" s="216"/>
      <c r="J36" s="216"/>
      <c r="K36" s="216"/>
      <c r="L36" s="216"/>
      <c r="M36" s="216"/>
      <c r="N36" s="216"/>
      <c r="O36" s="216"/>
      <c r="P36" s="216"/>
      <c r="Q36" s="216"/>
      <c r="R36" s="216"/>
      <c r="S36" s="217"/>
      <c r="T36" s="71" t="s">
        <v>73</v>
      </c>
      <c r="U36" s="332" t="s">
        <v>282</v>
      </c>
      <c r="V36" s="333"/>
      <c r="W36" s="334"/>
      <c r="X36" s="72"/>
      <c r="Y36" s="208"/>
      <c r="Z36" s="209"/>
      <c r="AA36" s="210"/>
      <c r="AB36" s="73" t="str">
        <f>IF(X36&lt;&gt;"",VLOOKUP(X36,TBL!Q:R,2,0),"")</f>
        <v/>
      </c>
      <c r="AC36" s="64" t="str">
        <f t="shared" ref="AC36:AC39" si="6">IF(AD36&lt;&gt;"","←","")</f>
        <v>←</v>
      </c>
      <c r="AD36" s="26" t="str">
        <f>IF(G36="","",IF(AND(AE36="OK",AF36="OK"),"OK",IF(AE36="OK",AF36,IF(AF36="OK",AE36,AE36&amp;CHAR(10)&amp;AF36))))</f>
        <v>・上司評価未入力</v>
      </c>
      <c r="AE36" s="70" t="str">
        <f t="shared" ref="AE36:AE39" si="7">IF(G36="","-",IF(T36&lt;&gt;"","OK","・自己評価未入力"))</f>
        <v>OK</v>
      </c>
      <c r="AF36" s="70" t="str">
        <f t="shared" ref="AF36:AF39" si="8">IF(G36="","-",IF(X36&lt;&gt;"","OK","・上司評価未入力"))</f>
        <v>・上司評価未入力</v>
      </c>
    </row>
    <row r="37" spans="1:32" ht="66" customHeight="1" x14ac:dyDescent="0.15">
      <c r="A37" s="211"/>
      <c r="B37" s="218" t="s">
        <v>199</v>
      </c>
      <c r="C37" s="219"/>
      <c r="D37" s="219"/>
      <c r="E37" s="219"/>
      <c r="F37" s="220"/>
      <c r="G37" s="221" t="str">
        <f>IF($Q$3="","",VLOOKUP(B37,①行動評価項目!B:G,VLOOKUP($Q$3,TBL!I:J,2,0),0))</f>
        <v>対話者の方のお困りごとがなぜ起こったのか？を汲み取り改善につながる声を拾います</v>
      </c>
      <c r="H37" s="222"/>
      <c r="I37" s="222"/>
      <c r="J37" s="222"/>
      <c r="K37" s="222"/>
      <c r="L37" s="222"/>
      <c r="M37" s="222"/>
      <c r="N37" s="222"/>
      <c r="O37" s="222"/>
      <c r="P37" s="222"/>
      <c r="Q37" s="222"/>
      <c r="R37" s="222"/>
      <c r="S37" s="223"/>
      <c r="T37" s="71" t="s">
        <v>73</v>
      </c>
      <c r="U37" s="335"/>
      <c r="V37" s="336"/>
      <c r="W37" s="337"/>
      <c r="X37" s="72"/>
      <c r="Y37" s="208"/>
      <c r="Z37" s="209"/>
      <c r="AA37" s="210"/>
      <c r="AB37" s="73" t="str">
        <f>IF(X37&lt;&gt;"",VLOOKUP(X37,TBL!Q:R,2,0),"")</f>
        <v/>
      </c>
      <c r="AC37" s="64" t="str">
        <f t="shared" si="6"/>
        <v>←</v>
      </c>
      <c r="AD37" s="26" t="str">
        <f t="shared" ref="AD37:AD39" si="9">IF(G37="","",IF(AND(AE37="OK",AF37="OK"),"OK",IF(AE37="OK",AF37,IF(AF37="OK",AE37,AE37&amp;CHAR(10)&amp;AF37))))</f>
        <v>・上司評価未入力</v>
      </c>
      <c r="AE37" s="70" t="str">
        <f t="shared" si="7"/>
        <v>OK</v>
      </c>
      <c r="AF37" s="70" t="str">
        <f t="shared" si="8"/>
        <v>・上司評価未入力</v>
      </c>
    </row>
    <row r="38" spans="1:32" ht="66" customHeight="1" x14ac:dyDescent="0.15">
      <c r="A38" s="211"/>
      <c r="B38" s="218" t="s">
        <v>200</v>
      </c>
      <c r="C38" s="219"/>
      <c r="D38" s="219"/>
      <c r="E38" s="219"/>
      <c r="F38" s="220"/>
      <c r="G38" s="221" t="str">
        <f>IF($Q$3="","",VLOOKUP(B38,①行動評価項目!B:G,VLOOKUP($Q$3,TBL!I:J,2,0),0))</f>
        <v>変化していく環境にあわせプロフェッショナルとして「よりよい案内とは？」を考え成長していきます</v>
      </c>
      <c r="H38" s="222"/>
      <c r="I38" s="222"/>
      <c r="J38" s="222"/>
      <c r="K38" s="222"/>
      <c r="L38" s="222"/>
      <c r="M38" s="222"/>
      <c r="N38" s="222"/>
      <c r="O38" s="222"/>
      <c r="P38" s="222"/>
      <c r="Q38" s="222"/>
      <c r="R38" s="222"/>
      <c r="S38" s="223"/>
      <c r="T38" s="71" t="s">
        <v>73</v>
      </c>
      <c r="U38" s="335"/>
      <c r="V38" s="336"/>
      <c r="W38" s="337"/>
      <c r="X38" s="72"/>
      <c r="Y38" s="208"/>
      <c r="Z38" s="209"/>
      <c r="AA38" s="210"/>
      <c r="AB38" s="73" t="str">
        <f>IF(X38&lt;&gt;"",VLOOKUP(X38,TBL!Q:R,2,0),"")</f>
        <v/>
      </c>
      <c r="AC38" s="64" t="str">
        <f t="shared" si="6"/>
        <v>←</v>
      </c>
      <c r="AD38" s="26" t="str">
        <f t="shared" si="9"/>
        <v>・上司評価未入力</v>
      </c>
      <c r="AE38" s="70" t="str">
        <f t="shared" si="7"/>
        <v>OK</v>
      </c>
      <c r="AF38" s="70" t="str">
        <f t="shared" si="8"/>
        <v>・上司評価未入力</v>
      </c>
    </row>
    <row r="39" spans="1:32" ht="66" customHeight="1" x14ac:dyDescent="0.15">
      <c r="A39" s="211"/>
      <c r="B39" s="224" t="s">
        <v>202</v>
      </c>
      <c r="C39" s="225"/>
      <c r="D39" s="225"/>
      <c r="E39" s="225"/>
      <c r="F39" s="226"/>
      <c r="G39" s="227" t="str">
        <f>IF($Q$3="","",VLOOKUP(B39,①行動評価項目!B:G,VLOOKUP($Q$3,TBL!I:J,2,0),0))</f>
        <v xml:space="preserve">対話者の方への配慮を第一に、わかりやすい速度・表現での案内とともに人ならではの対話を行います </v>
      </c>
      <c r="H39" s="228"/>
      <c r="I39" s="228"/>
      <c r="J39" s="228"/>
      <c r="K39" s="228"/>
      <c r="L39" s="228"/>
      <c r="M39" s="228"/>
      <c r="N39" s="228"/>
      <c r="O39" s="228"/>
      <c r="P39" s="228"/>
      <c r="Q39" s="228"/>
      <c r="R39" s="228"/>
      <c r="S39" s="229"/>
      <c r="T39" s="71" t="s">
        <v>73</v>
      </c>
      <c r="U39" s="335"/>
      <c r="V39" s="336"/>
      <c r="W39" s="337"/>
      <c r="X39" s="133"/>
      <c r="Y39" s="208"/>
      <c r="Z39" s="209"/>
      <c r="AA39" s="210"/>
      <c r="AB39" s="134" t="str">
        <f>IF(X39&lt;&gt;"",VLOOKUP(X39,TBL!Q:R,2,0),"")</f>
        <v/>
      </c>
      <c r="AC39" s="64" t="str">
        <f t="shared" si="6"/>
        <v>←</v>
      </c>
      <c r="AD39" s="26" t="str">
        <f t="shared" si="9"/>
        <v>・上司評価未入力</v>
      </c>
      <c r="AE39" s="70" t="str">
        <f t="shared" si="7"/>
        <v>OK</v>
      </c>
      <c r="AF39" s="70" t="str">
        <f t="shared" si="8"/>
        <v>・上司評価未入力</v>
      </c>
    </row>
    <row r="40" spans="1:32" ht="66" customHeight="1" x14ac:dyDescent="0.15">
      <c r="A40" s="144" t="s">
        <v>247</v>
      </c>
      <c r="B40" s="142" t="str">
        <f>①行動評価項目!B8</f>
        <v>情報収集</v>
      </c>
      <c r="C40" s="142"/>
      <c r="D40" s="142"/>
      <c r="E40" s="142"/>
      <c r="F40" s="142"/>
      <c r="G40" s="153" t="str">
        <f>IF($Q$3="","",VLOOKUP(B40,①行動評価項目!B:G,VLOOKUP($Q$3,TBL!I:J,2,0),0))</f>
        <v>自部門のサービス・業務に対し、業務レベルでの理解があり、関連する最新の業界動向や顧客情報、競合他社情報などを幅広く収集して、業務に活用している。</v>
      </c>
      <c r="H40" s="154"/>
      <c r="I40" s="154"/>
      <c r="J40" s="154"/>
      <c r="K40" s="154"/>
      <c r="L40" s="154"/>
      <c r="M40" s="154"/>
      <c r="N40" s="154"/>
      <c r="O40" s="154"/>
      <c r="P40" s="154"/>
      <c r="Q40" s="154"/>
      <c r="R40" s="154"/>
      <c r="S40" s="155"/>
      <c r="T40" s="71" t="s">
        <v>73</v>
      </c>
      <c r="U40" s="323"/>
      <c r="V40" s="324"/>
      <c r="W40" s="325"/>
      <c r="X40" s="72"/>
      <c r="Y40" s="137"/>
      <c r="Z40" s="138"/>
      <c r="AA40" s="139"/>
      <c r="AB40" s="73" t="str">
        <f>IF(X40&lt;&gt;"",VLOOKUP(X40,TBL!Q:R,2,0),"")</f>
        <v/>
      </c>
      <c r="AC40" s="64" t="str">
        <f t="shared" ref="AC40:AC51" si="10">IF(AD40&lt;&gt;"","←","")</f>
        <v>←</v>
      </c>
      <c r="AD40" s="26" t="str">
        <f t="shared" ref="AD40:AD51" si="11">IF(G40="","",IF(AND(AE40="OK",AF40="OK"),"OK",IF(AE40="OK",AF40,IF(AF40="OK",AE40,AE40&amp;CHAR(10)&amp;AF40))))</f>
        <v>・上司評価未入力</v>
      </c>
      <c r="AE40" s="70" t="str">
        <f t="shared" ref="AE40:AE51" si="12">IF(G40="","-",IF(T40&lt;&gt;"","OK","・自己評価未入力"))</f>
        <v>OK</v>
      </c>
      <c r="AF40" s="70" t="str">
        <f t="shared" ref="AF40:AF51" si="13">IF(G40="","-",IF(X40&lt;&gt;"","OK","・上司評価未入力"))</f>
        <v>・上司評価未入力</v>
      </c>
    </row>
    <row r="41" spans="1:32" ht="66" customHeight="1" x14ac:dyDescent="0.15">
      <c r="A41" s="144"/>
      <c r="B41" s="142" t="str">
        <f>①行動評価項目!B9</f>
        <v>課題認識・企画提案</v>
      </c>
      <c r="C41" s="142"/>
      <c r="D41" s="142"/>
      <c r="E41" s="142"/>
      <c r="F41" s="142"/>
      <c r="G41" s="146" t="str">
        <f>IF($Q$3="","",VLOOKUP(B41,①行動評価項目!B:G,VLOOKUP($Q$3,TBL!I:J,2,0),0))</f>
        <v>業務上の問題点を整理し、状況、状態を的確に把握すると共に、状況変化に応じて業務の優先順位をつけて、対応策を検討している。</v>
      </c>
      <c r="H41" s="147"/>
      <c r="I41" s="147"/>
      <c r="J41" s="147"/>
      <c r="K41" s="147"/>
      <c r="L41" s="147"/>
      <c r="M41" s="147"/>
      <c r="N41" s="147"/>
      <c r="O41" s="147"/>
      <c r="P41" s="147"/>
      <c r="Q41" s="147"/>
      <c r="R41" s="147"/>
      <c r="S41" s="148"/>
      <c r="T41" s="71" t="s">
        <v>73</v>
      </c>
      <c r="U41" s="326"/>
      <c r="V41" s="327"/>
      <c r="W41" s="328"/>
      <c r="X41" s="72"/>
      <c r="Y41" s="112"/>
      <c r="Z41" s="113"/>
      <c r="AA41" s="114"/>
      <c r="AB41" s="73" t="str">
        <f>IF(X41&lt;&gt;"",VLOOKUP(X41,TBL!Q:R,2,0),"")</f>
        <v/>
      </c>
      <c r="AC41" s="64" t="str">
        <f t="shared" si="10"/>
        <v>←</v>
      </c>
      <c r="AD41" s="26" t="str">
        <f t="shared" si="11"/>
        <v>・上司評価未入力</v>
      </c>
      <c r="AE41" s="70" t="str">
        <f t="shared" si="12"/>
        <v>OK</v>
      </c>
      <c r="AF41" s="70" t="str">
        <f t="shared" si="13"/>
        <v>・上司評価未入力</v>
      </c>
    </row>
    <row r="42" spans="1:32" ht="66" customHeight="1" x14ac:dyDescent="0.15">
      <c r="A42" s="144"/>
      <c r="B42" s="142" t="str">
        <f>①行動評価項目!B10</f>
        <v>適応・柔軟性</v>
      </c>
      <c r="C42" s="142"/>
      <c r="D42" s="142"/>
      <c r="E42" s="142"/>
      <c r="F42" s="142"/>
      <c r="G42" s="146" t="str">
        <f>IF($Q$3="","",VLOOKUP(B42,①行動評価項目!B:G,VLOOKUP($Q$3,TBL!I:J,2,0),0))</f>
        <v>環境や状況の変化を察知し、上位方針や過去の事例に基づいて適切に判断している。</v>
      </c>
      <c r="H42" s="147"/>
      <c r="I42" s="147"/>
      <c r="J42" s="147"/>
      <c r="K42" s="147"/>
      <c r="L42" s="147"/>
      <c r="M42" s="147"/>
      <c r="N42" s="147"/>
      <c r="O42" s="147"/>
      <c r="P42" s="147"/>
      <c r="Q42" s="147"/>
      <c r="R42" s="147"/>
      <c r="S42" s="148"/>
      <c r="T42" s="71" t="s">
        <v>73</v>
      </c>
      <c r="U42" s="329"/>
      <c r="V42" s="330"/>
      <c r="W42" s="331"/>
      <c r="X42" s="125"/>
      <c r="Y42" s="126"/>
      <c r="Z42" s="127"/>
      <c r="AA42" s="128"/>
      <c r="AB42" s="129" t="str">
        <f>IF(X42&lt;&gt;"",VLOOKUP(X42,TBL!Q:R,2,0),"")</f>
        <v/>
      </c>
      <c r="AC42" s="64" t="str">
        <f t="shared" si="10"/>
        <v>←</v>
      </c>
      <c r="AD42" s="26" t="str">
        <f t="shared" si="11"/>
        <v>・上司評価未入力</v>
      </c>
      <c r="AE42" s="70" t="str">
        <f t="shared" si="12"/>
        <v>OK</v>
      </c>
      <c r="AF42" s="70" t="str">
        <f t="shared" si="13"/>
        <v>・上司評価未入力</v>
      </c>
    </row>
    <row r="43" spans="1:32" ht="66" customHeight="1" x14ac:dyDescent="0.15">
      <c r="A43" s="145" t="s">
        <v>244</v>
      </c>
      <c r="B43" s="142" t="str">
        <f>①行動評価項目!B11</f>
        <v>信頼構築</v>
      </c>
      <c r="C43" s="142"/>
      <c r="D43" s="142"/>
      <c r="E43" s="142"/>
      <c r="F43" s="142"/>
      <c r="G43" s="153" t="str">
        <f>IF($Q$3="","",VLOOKUP(B43,①行動評価項目!B:G,VLOOKUP($Q$3,TBL!I:J,2,0),0))</f>
        <v>現場を大切にして、顧客の利益につながるよう、特に指示がなくとも求められている使命を果たすよう行動し、自身への信頼を獲得している</v>
      </c>
      <c r="H43" s="154"/>
      <c r="I43" s="154"/>
      <c r="J43" s="154"/>
      <c r="K43" s="154"/>
      <c r="L43" s="154"/>
      <c r="M43" s="154"/>
      <c r="N43" s="154"/>
      <c r="O43" s="154"/>
      <c r="P43" s="154"/>
      <c r="Q43" s="154"/>
      <c r="R43" s="154"/>
      <c r="S43" s="155"/>
      <c r="T43" s="71" t="s">
        <v>73</v>
      </c>
      <c r="U43" s="323"/>
      <c r="V43" s="324"/>
      <c r="W43" s="325"/>
      <c r="X43" s="72"/>
      <c r="Y43" s="137"/>
      <c r="Z43" s="138"/>
      <c r="AA43" s="139"/>
      <c r="AB43" s="73" t="str">
        <f>IF(X43&lt;&gt;"",VLOOKUP(X43,TBL!Q:R,2,0),"")</f>
        <v/>
      </c>
      <c r="AC43" s="64" t="str">
        <f t="shared" si="10"/>
        <v>←</v>
      </c>
      <c r="AD43" s="26" t="str">
        <f t="shared" si="11"/>
        <v>・上司評価未入力</v>
      </c>
      <c r="AE43" s="70" t="str">
        <f t="shared" si="12"/>
        <v>OK</v>
      </c>
      <c r="AF43" s="70" t="str">
        <f t="shared" si="13"/>
        <v>・上司評価未入力</v>
      </c>
    </row>
    <row r="44" spans="1:32" ht="66" customHeight="1" x14ac:dyDescent="0.15">
      <c r="A44" s="143"/>
      <c r="B44" s="142" t="str">
        <f>①行動評価項目!B12</f>
        <v>サービス改善・創意工夫</v>
      </c>
      <c r="C44" s="142"/>
      <c r="D44" s="142"/>
      <c r="E44" s="142"/>
      <c r="F44" s="142"/>
      <c r="G44" s="146" t="str">
        <f>IF($Q$3="","",VLOOKUP(B44,①行動評価項目!B:G,VLOOKUP($Q$3,TBL!I:J,2,0),0))</f>
        <v>顧客のより高い満足を実現するために、提供サービスや業務に創意工夫や改善を行ない、チーム全体で顧客の期待以上の品質向上や効率化に取り組んでいる。</v>
      </c>
      <c r="H44" s="147"/>
      <c r="I44" s="147"/>
      <c r="J44" s="147"/>
      <c r="K44" s="147"/>
      <c r="L44" s="147"/>
      <c r="M44" s="147"/>
      <c r="N44" s="147"/>
      <c r="O44" s="147"/>
      <c r="P44" s="147"/>
      <c r="Q44" s="147"/>
      <c r="R44" s="147"/>
      <c r="S44" s="148"/>
      <c r="T44" s="71" t="s">
        <v>73</v>
      </c>
      <c r="U44" s="329"/>
      <c r="V44" s="330"/>
      <c r="W44" s="331"/>
      <c r="X44" s="125"/>
      <c r="Y44" s="126"/>
      <c r="Z44" s="127"/>
      <c r="AA44" s="128"/>
      <c r="AB44" s="129" t="str">
        <f>IF(X44&lt;&gt;"",VLOOKUP(X44,TBL!Q:R,2,0),"")</f>
        <v/>
      </c>
      <c r="AC44" s="64" t="str">
        <f t="shared" si="10"/>
        <v>←</v>
      </c>
      <c r="AD44" s="26" t="str">
        <f t="shared" si="11"/>
        <v>・上司評価未入力</v>
      </c>
      <c r="AE44" s="70" t="str">
        <f t="shared" si="12"/>
        <v>OK</v>
      </c>
      <c r="AF44" s="70" t="str">
        <f t="shared" si="13"/>
        <v>・上司評価未入力</v>
      </c>
    </row>
    <row r="45" spans="1:32" ht="66" customHeight="1" x14ac:dyDescent="0.15">
      <c r="A45" s="144" t="s">
        <v>245</v>
      </c>
      <c r="B45" s="142" t="str">
        <f>①行動評価項目!B13</f>
        <v>役割認識・リーダーシップ</v>
      </c>
      <c r="C45" s="142"/>
      <c r="D45" s="142"/>
      <c r="E45" s="142"/>
      <c r="F45" s="142"/>
      <c r="G45" s="153" t="str">
        <f>IF($Q$3="","",VLOOKUP(B45,①行動評価項目!B:G,VLOOKUP($Q$3,TBL!I:J,2,0),0))</f>
        <v xml:space="preserve">組織目標や上位方針から、自身の果たすべき役割や責任を正しく認識し、迅速な行動・判断によってリーダーシップを発揮し、チームに貢献している。
</v>
      </c>
      <c r="H45" s="154"/>
      <c r="I45" s="154"/>
      <c r="J45" s="154"/>
      <c r="K45" s="154"/>
      <c r="L45" s="154"/>
      <c r="M45" s="154"/>
      <c r="N45" s="154"/>
      <c r="O45" s="154"/>
      <c r="P45" s="154"/>
      <c r="Q45" s="154"/>
      <c r="R45" s="154"/>
      <c r="S45" s="155"/>
      <c r="T45" s="71" t="s">
        <v>73</v>
      </c>
      <c r="U45" s="323"/>
      <c r="V45" s="324"/>
      <c r="W45" s="325"/>
      <c r="X45" s="72"/>
      <c r="Y45" s="137"/>
      <c r="Z45" s="138"/>
      <c r="AA45" s="139"/>
      <c r="AB45" s="73" t="str">
        <f>IF(X45&lt;&gt;"",VLOOKUP(X45,TBL!Q:R,2,0),"")</f>
        <v/>
      </c>
      <c r="AC45" s="64" t="str">
        <f t="shared" si="10"/>
        <v>←</v>
      </c>
      <c r="AD45" s="26" t="str">
        <f t="shared" si="11"/>
        <v>・上司評価未入力</v>
      </c>
      <c r="AE45" s="70" t="str">
        <f t="shared" si="12"/>
        <v>OK</v>
      </c>
      <c r="AF45" s="70" t="str">
        <f t="shared" si="13"/>
        <v>・上司評価未入力</v>
      </c>
    </row>
    <row r="46" spans="1:32" ht="66" customHeight="1" x14ac:dyDescent="0.15">
      <c r="A46" s="144"/>
      <c r="B46" s="142" t="str">
        <f>①行動評価項目!B14</f>
        <v>組織･ネットワーク活用</v>
      </c>
      <c r="C46" s="142"/>
      <c r="D46" s="142"/>
      <c r="E46" s="142"/>
      <c r="F46" s="142"/>
      <c r="G46" s="146" t="str">
        <f>IF($Q$3="","",VLOOKUP(B46,①行動評価項目!B:G,VLOOKUP($Q$3,TBL!I:J,2,0),0))</f>
        <v xml:space="preserve">自身の領域や能力では足りないものに対し、必要時には周囲や上位者の支援を仰ぎ、社内外の情報リソースや社内の人脈によるネットワーク等も有効活用しながら目標達成に向け取り組んでいる。
</v>
      </c>
      <c r="H46" s="147"/>
      <c r="I46" s="147"/>
      <c r="J46" s="147"/>
      <c r="K46" s="147"/>
      <c r="L46" s="147"/>
      <c r="M46" s="147"/>
      <c r="N46" s="147"/>
      <c r="O46" s="147"/>
      <c r="P46" s="147"/>
      <c r="Q46" s="147"/>
      <c r="R46" s="147"/>
      <c r="S46" s="148"/>
      <c r="T46" s="71" t="s">
        <v>73</v>
      </c>
      <c r="U46" s="326"/>
      <c r="V46" s="327"/>
      <c r="W46" s="328"/>
      <c r="X46" s="72"/>
      <c r="Y46" s="112"/>
      <c r="Z46" s="113"/>
      <c r="AA46" s="114"/>
      <c r="AB46" s="73" t="str">
        <f>IF(X46&lt;&gt;"",VLOOKUP(X46,TBL!Q:R,2,0),"")</f>
        <v/>
      </c>
      <c r="AC46" s="64" t="str">
        <f t="shared" si="10"/>
        <v>←</v>
      </c>
      <c r="AD46" s="26" t="str">
        <f t="shared" si="11"/>
        <v>・上司評価未入力</v>
      </c>
      <c r="AE46" s="70" t="str">
        <f t="shared" si="12"/>
        <v>OK</v>
      </c>
      <c r="AF46" s="70" t="str">
        <f t="shared" si="13"/>
        <v>・上司評価未入力</v>
      </c>
    </row>
    <row r="47" spans="1:32" ht="66" customHeight="1" x14ac:dyDescent="0.15">
      <c r="A47" s="144"/>
      <c r="B47" s="142" t="str">
        <f>①行動評価項目!B15</f>
        <v>人材育成</v>
      </c>
      <c r="C47" s="142"/>
      <c r="D47" s="142"/>
      <c r="E47" s="142"/>
      <c r="F47" s="142"/>
      <c r="G47" s="146" t="str">
        <f>IF($Q$3="","",VLOOKUP(B47,①行動評価項目!B:G,VLOOKUP($Q$3,TBL!I:J,2,0),0))</f>
        <v xml:space="preserve">自身の持つ専門知識やスキル、習得したノウハウや経験を用いて、周囲へのサポートやメンバーへの具体的なアドバイス、業務支援をすることで、業務を通じた育成をサポートしている。
</v>
      </c>
      <c r="H47" s="147"/>
      <c r="I47" s="147"/>
      <c r="J47" s="147"/>
      <c r="K47" s="147"/>
      <c r="L47" s="147"/>
      <c r="M47" s="147"/>
      <c r="N47" s="147"/>
      <c r="O47" s="147"/>
      <c r="P47" s="147"/>
      <c r="Q47" s="147"/>
      <c r="R47" s="147"/>
      <c r="S47" s="148"/>
      <c r="T47" s="71" t="s">
        <v>73</v>
      </c>
      <c r="U47" s="329"/>
      <c r="V47" s="330"/>
      <c r="W47" s="331"/>
      <c r="X47" s="125"/>
      <c r="Y47" s="126"/>
      <c r="Z47" s="127"/>
      <c r="AA47" s="128"/>
      <c r="AB47" s="129" t="str">
        <f>IF(X47&lt;&gt;"",VLOOKUP(X47,TBL!Q:R,2,0),"")</f>
        <v/>
      </c>
      <c r="AC47" s="64" t="str">
        <f t="shared" si="10"/>
        <v>←</v>
      </c>
      <c r="AD47" s="26" t="str">
        <f t="shared" si="11"/>
        <v>・上司評価未入力</v>
      </c>
      <c r="AE47" s="70" t="str">
        <f t="shared" si="12"/>
        <v>OK</v>
      </c>
      <c r="AF47" s="70" t="str">
        <f t="shared" si="13"/>
        <v>・上司評価未入力</v>
      </c>
    </row>
    <row r="48" spans="1:32" ht="66" customHeight="1" x14ac:dyDescent="0.15">
      <c r="A48" s="143" t="s">
        <v>246</v>
      </c>
      <c r="B48" s="149" t="str">
        <f>①行動評価項目!B16</f>
        <v>タスク管理</v>
      </c>
      <c r="C48" s="149"/>
      <c r="D48" s="149"/>
      <c r="E48" s="149"/>
      <c r="F48" s="149"/>
      <c r="G48" s="150" t="str">
        <f>IF($Q$3="","",VLOOKUP(B48,①行動評価項目!B:G,VLOOKUP($Q$3,TBL!I:J,2,0),0))</f>
        <v xml:space="preserve">担当する業務において、タスクの優先付けと進捗管理を適切に行い、サービス品質やアウトプット納期を確保している。
</v>
      </c>
      <c r="H48" s="151"/>
      <c r="I48" s="151"/>
      <c r="J48" s="151"/>
      <c r="K48" s="151"/>
      <c r="L48" s="151"/>
      <c r="M48" s="151"/>
      <c r="N48" s="151"/>
      <c r="O48" s="151"/>
      <c r="P48" s="151"/>
      <c r="Q48" s="151"/>
      <c r="R48" s="151"/>
      <c r="S48" s="152"/>
      <c r="T48" s="71" t="s">
        <v>73</v>
      </c>
      <c r="U48" s="323"/>
      <c r="V48" s="324"/>
      <c r="W48" s="325"/>
      <c r="X48" s="135"/>
      <c r="Y48" s="109"/>
      <c r="Z48" s="110"/>
      <c r="AA48" s="111"/>
      <c r="AB48" s="136" t="str">
        <f>IF(X48&lt;&gt;"",VLOOKUP(X48,TBL!Q:R,2,0),"")</f>
        <v/>
      </c>
      <c r="AC48" s="64" t="str">
        <f t="shared" si="10"/>
        <v>←</v>
      </c>
      <c r="AD48" s="26" t="str">
        <f t="shared" si="11"/>
        <v>・上司評価未入力</v>
      </c>
      <c r="AE48" s="70" t="str">
        <f t="shared" si="12"/>
        <v>OK</v>
      </c>
      <c r="AF48" s="70" t="str">
        <f t="shared" si="13"/>
        <v>・上司評価未入力</v>
      </c>
    </row>
    <row r="49" spans="1:32" ht="66" customHeight="1" x14ac:dyDescent="0.15">
      <c r="A49" s="144"/>
      <c r="B49" s="142" t="str">
        <f>①行動評価項目!B17</f>
        <v>達成志向・責任感</v>
      </c>
      <c r="C49" s="142"/>
      <c r="D49" s="142"/>
      <c r="E49" s="142"/>
      <c r="F49" s="142"/>
      <c r="G49" s="146" t="str">
        <f>IF($Q$3="","",VLOOKUP(B49,①行動評価項目!B:G,VLOOKUP($Q$3,TBL!I:J,2,0),0))</f>
        <v>目標の見直しが必要な場合は計画の見直しや業務プロセスの改善を取り組み、目標や計画を責任を持って成し遂げている。</v>
      </c>
      <c r="H49" s="147"/>
      <c r="I49" s="147"/>
      <c r="J49" s="147"/>
      <c r="K49" s="147"/>
      <c r="L49" s="147"/>
      <c r="M49" s="147"/>
      <c r="N49" s="147"/>
      <c r="O49" s="147"/>
      <c r="P49" s="147"/>
      <c r="Q49" s="147"/>
      <c r="R49" s="147"/>
      <c r="S49" s="148"/>
      <c r="T49" s="71" t="s">
        <v>73</v>
      </c>
      <c r="U49" s="326"/>
      <c r="V49" s="327"/>
      <c r="W49" s="328"/>
      <c r="X49" s="72"/>
      <c r="Y49" s="109"/>
      <c r="Z49" s="110"/>
      <c r="AA49" s="111"/>
      <c r="AB49" s="73" t="str">
        <f>IF(X49&lt;&gt;"",VLOOKUP(X49,TBL!Q:R,2,0),"")</f>
        <v/>
      </c>
      <c r="AC49" s="64" t="str">
        <f t="shared" si="10"/>
        <v>←</v>
      </c>
      <c r="AD49" s="26" t="str">
        <f t="shared" si="11"/>
        <v>・上司評価未入力</v>
      </c>
      <c r="AE49" s="70" t="str">
        <f t="shared" si="12"/>
        <v>OK</v>
      </c>
      <c r="AF49" s="70" t="str">
        <f t="shared" si="13"/>
        <v>・上司評価未入力</v>
      </c>
    </row>
    <row r="50" spans="1:32" ht="66" customHeight="1" x14ac:dyDescent="0.15">
      <c r="A50" s="144"/>
      <c r="B50" s="142" t="str">
        <f>①行動評価項目!B18</f>
        <v>自己研鑽</v>
      </c>
      <c r="C50" s="142"/>
      <c r="D50" s="142"/>
      <c r="E50" s="142"/>
      <c r="F50" s="142"/>
      <c r="G50" s="146" t="str">
        <f>IF($Q$3="","",VLOOKUP(B50,①行動評価項目!B:G,VLOOKUP($Q$3,TBL!I:J,2,0),0))</f>
        <v>自らの成長を意識して、役割に応じた目標を設定し取り組むと共に、担当業務に関連する最新知識や専門スキルを継続的に収集・加工・分析・整理し、業務に活用している。</v>
      </c>
      <c r="H50" s="147"/>
      <c r="I50" s="147"/>
      <c r="J50" s="147"/>
      <c r="K50" s="147"/>
      <c r="L50" s="147"/>
      <c r="M50" s="147"/>
      <c r="N50" s="147"/>
      <c r="O50" s="147"/>
      <c r="P50" s="147"/>
      <c r="Q50" s="147"/>
      <c r="R50" s="147"/>
      <c r="S50" s="148"/>
      <c r="T50" s="71" t="s">
        <v>73</v>
      </c>
      <c r="U50" s="326"/>
      <c r="V50" s="327"/>
      <c r="W50" s="328"/>
      <c r="X50" s="72"/>
      <c r="Y50" s="109"/>
      <c r="Z50" s="110"/>
      <c r="AA50" s="111"/>
      <c r="AB50" s="73" t="str">
        <f>IF(X50&lt;&gt;"",VLOOKUP(X50,TBL!Q:R,2,0),"")</f>
        <v/>
      </c>
      <c r="AC50" s="64" t="str">
        <f t="shared" si="10"/>
        <v>←</v>
      </c>
      <c r="AD50" s="26" t="str">
        <f t="shared" si="11"/>
        <v>・上司評価未入力</v>
      </c>
      <c r="AE50" s="70" t="str">
        <f t="shared" si="12"/>
        <v>OK</v>
      </c>
      <c r="AF50" s="70" t="str">
        <f t="shared" si="13"/>
        <v>・上司評価未入力</v>
      </c>
    </row>
    <row r="51" spans="1:32" ht="66" customHeight="1" x14ac:dyDescent="0.15">
      <c r="A51" s="144"/>
      <c r="B51" s="142" t="str">
        <f>①行動評価項目!B19</f>
        <v>ストレスマネジメント</v>
      </c>
      <c r="C51" s="142"/>
      <c r="D51" s="142"/>
      <c r="E51" s="142"/>
      <c r="F51" s="142"/>
      <c r="G51" s="146" t="str">
        <f>IF($Q$3="","",VLOOKUP(B51,①行動評価項目!B:G,VLOOKUP($Q$3,TBL!I:J,2,0),0))</f>
        <v>チャレンジングな環境においても冷静な対応を行い、職務を完遂する為に必要な考えや前向きな気持ちで行動している。</v>
      </c>
      <c r="H51" s="147"/>
      <c r="I51" s="147"/>
      <c r="J51" s="147"/>
      <c r="K51" s="147"/>
      <c r="L51" s="147"/>
      <c r="M51" s="147"/>
      <c r="N51" s="147"/>
      <c r="O51" s="147"/>
      <c r="P51" s="147"/>
      <c r="Q51" s="147"/>
      <c r="R51" s="147"/>
      <c r="S51" s="148"/>
      <c r="T51" s="124" t="s">
        <v>73</v>
      </c>
      <c r="U51" s="329"/>
      <c r="V51" s="330"/>
      <c r="W51" s="331"/>
      <c r="X51" s="125"/>
      <c r="Y51" s="126"/>
      <c r="Z51" s="127"/>
      <c r="AA51" s="128"/>
      <c r="AB51" s="129" t="str">
        <f>IF(X51&lt;&gt;"",VLOOKUP(X51,TBL!Q:R,2,0),"")</f>
        <v/>
      </c>
      <c r="AC51" s="64" t="str">
        <f t="shared" si="10"/>
        <v>←</v>
      </c>
      <c r="AD51" s="26" t="str">
        <f t="shared" si="11"/>
        <v>・上司評価未入力</v>
      </c>
      <c r="AE51" s="70" t="str">
        <f t="shared" si="12"/>
        <v>OK</v>
      </c>
      <c r="AF51" s="70" t="str">
        <f t="shared" si="13"/>
        <v>・上司評価未入力</v>
      </c>
    </row>
    <row r="52" spans="1:32" ht="28.5" x14ac:dyDescent="0.15">
      <c r="A52" s="76"/>
      <c r="B52" s="76"/>
      <c r="C52" s="76"/>
      <c r="D52" s="76"/>
      <c r="E52" s="76"/>
      <c r="F52" s="76"/>
      <c r="G52" s="76"/>
      <c r="H52" s="76"/>
      <c r="I52" s="76"/>
      <c r="J52" s="76"/>
      <c r="K52" s="76"/>
      <c r="L52" s="76"/>
      <c r="M52" s="76"/>
      <c r="N52" s="76"/>
      <c r="O52" s="76"/>
      <c r="P52" s="76"/>
      <c r="Q52" s="76"/>
      <c r="R52" s="76"/>
      <c r="S52" s="76"/>
      <c r="T52" s="76"/>
      <c r="U52" s="77" t="s">
        <v>144</v>
      </c>
      <c r="V52" s="76"/>
      <c r="W52" s="76"/>
      <c r="X52" s="204" t="s">
        <v>53</v>
      </c>
      <c r="Y52" s="204"/>
      <c r="Z52" s="204"/>
      <c r="AA52" s="204"/>
      <c r="AB52" s="123" t="str">
        <f>IF(COUNT(AB36:AB51)=16,ROUND(AVERAGE(AB36:AB51),0),"-")</f>
        <v>-</v>
      </c>
      <c r="AC52" s="64"/>
    </row>
    <row r="53" spans="1:32" ht="24" customHeight="1" x14ac:dyDescent="0.15">
      <c r="A53" s="42" t="s">
        <v>65</v>
      </c>
      <c r="B53" s="205" t="s">
        <v>66</v>
      </c>
      <c r="C53" s="206"/>
      <c r="D53" s="206"/>
      <c r="E53" s="206"/>
      <c r="F53" s="206"/>
      <c r="G53" s="206"/>
      <c r="H53" s="206"/>
      <c r="I53" s="206"/>
      <c r="J53" s="206"/>
      <c r="K53" s="206"/>
      <c r="L53" s="206"/>
      <c r="M53" s="206"/>
      <c r="N53" s="206"/>
      <c r="O53" s="206"/>
      <c r="P53" s="206"/>
      <c r="Q53" s="206"/>
      <c r="R53" s="206"/>
      <c r="S53" s="207"/>
      <c r="T53" s="42" t="s">
        <v>83</v>
      </c>
      <c r="U53" s="76"/>
      <c r="V53" s="76"/>
      <c r="W53" s="76"/>
      <c r="X53" s="76"/>
      <c r="Y53" s="76"/>
      <c r="Z53" s="76"/>
      <c r="AA53" s="79"/>
      <c r="AB53" s="79"/>
      <c r="AC53" s="64"/>
    </row>
    <row r="54" spans="1:32" ht="24" customHeight="1" x14ac:dyDescent="0.15">
      <c r="A54" s="43" t="s">
        <v>67</v>
      </c>
      <c r="B54" s="202" t="s">
        <v>84</v>
      </c>
      <c r="C54" s="202"/>
      <c r="D54" s="202"/>
      <c r="E54" s="202"/>
      <c r="F54" s="202"/>
      <c r="G54" s="202"/>
      <c r="H54" s="202"/>
      <c r="I54" s="202"/>
      <c r="J54" s="202"/>
      <c r="K54" s="202"/>
      <c r="L54" s="202"/>
      <c r="M54" s="202"/>
      <c r="N54" s="202"/>
      <c r="O54" s="202"/>
      <c r="P54" s="202" t="s">
        <v>69</v>
      </c>
      <c r="Q54" s="202"/>
      <c r="R54" s="202"/>
      <c r="S54" s="202"/>
      <c r="T54" s="43">
        <v>80</v>
      </c>
      <c r="AC54" s="64"/>
    </row>
    <row r="55" spans="1:32" ht="24" customHeight="1" x14ac:dyDescent="0.15">
      <c r="A55" s="43" t="s">
        <v>70</v>
      </c>
      <c r="B55" s="202" t="s">
        <v>85</v>
      </c>
      <c r="C55" s="202"/>
      <c r="D55" s="202"/>
      <c r="E55" s="202"/>
      <c r="F55" s="202"/>
      <c r="G55" s="202"/>
      <c r="H55" s="202"/>
      <c r="I55" s="202"/>
      <c r="J55" s="202"/>
      <c r="K55" s="202"/>
      <c r="L55" s="202"/>
      <c r="M55" s="202"/>
      <c r="N55" s="202"/>
      <c r="O55" s="202"/>
      <c r="P55" s="202" t="s">
        <v>72</v>
      </c>
      <c r="Q55" s="202"/>
      <c r="R55" s="202"/>
      <c r="S55" s="202"/>
      <c r="T55" s="43">
        <v>60</v>
      </c>
    </row>
    <row r="56" spans="1:32" ht="24" customHeight="1" x14ac:dyDescent="0.15">
      <c r="A56" s="44" t="s">
        <v>73</v>
      </c>
      <c r="B56" s="203" t="s">
        <v>86</v>
      </c>
      <c r="C56" s="203"/>
      <c r="D56" s="203"/>
      <c r="E56" s="203"/>
      <c r="F56" s="203"/>
      <c r="G56" s="203"/>
      <c r="H56" s="203"/>
      <c r="I56" s="203"/>
      <c r="J56" s="203"/>
      <c r="K56" s="203"/>
      <c r="L56" s="203"/>
      <c r="M56" s="203"/>
      <c r="N56" s="203"/>
      <c r="O56" s="203"/>
      <c r="P56" s="203" t="s">
        <v>75</v>
      </c>
      <c r="Q56" s="203"/>
      <c r="R56" s="203"/>
      <c r="S56" s="203"/>
      <c r="T56" s="44">
        <v>40</v>
      </c>
    </row>
    <row r="57" spans="1:32" ht="24" customHeight="1" x14ac:dyDescent="0.15">
      <c r="A57" s="43" t="s">
        <v>76</v>
      </c>
      <c r="B57" s="202" t="s">
        <v>87</v>
      </c>
      <c r="C57" s="202"/>
      <c r="D57" s="202"/>
      <c r="E57" s="202"/>
      <c r="F57" s="202"/>
      <c r="G57" s="202"/>
      <c r="H57" s="202"/>
      <c r="I57" s="202"/>
      <c r="J57" s="202"/>
      <c r="K57" s="202"/>
      <c r="L57" s="202"/>
      <c r="M57" s="202"/>
      <c r="N57" s="202"/>
      <c r="O57" s="202"/>
      <c r="P57" s="202" t="s">
        <v>78</v>
      </c>
      <c r="Q57" s="202"/>
      <c r="R57" s="202"/>
      <c r="S57" s="202"/>
      <c r="T57" s="43">
        <v>20</v>
      </c>
    </row>
    <row r="58" spans="1:32" ht="24" customHeight="1" x14ac:dyDescent="0.15">
      <c r="A58" s="43" t="s">
        <v>79</v>
      </c>
      <c r="B58" s="202" t="s">
        <v>88</v>
      </c>
      <c r="C58" s="202"/>
      <c r="D58" s="202"/>
      <c r="E58" s="202"/>
      <c r="F58" s="202"/>
      <c r="G58" s="202"/>
      <c r="H58" s="202"/>
      <c r="I58" s="202"/>
      <c r="J58" s="202"/>
      <c r="K58" s="202"/>
      <c r="L58" s="202"/>
      <c r="M58" s="202"/>
      <c r="N58" s="202"/>
      <c r="O58" s="202"/>
      <c r="P58" s="202" t="s">
        <v>81</v>
      </c>
      <c r="Q58" s="202"/>
      <c r="R58" s="202"/>
      <c r="S58" s="202"/>
      <c r="T58" s="43">
        <v>1</v>
      </c>
    </row>
  </sheetData>
  <sheetProtection formatCells="0" formatRows="0"/>
  <mergeCells count="148">
    <mergeCell ref="U40:W42"/>
    <mergeCell ref="U45:W47"/>
    <mergeCell ref="U48:W51"/>
    <mergeCell ref="U43:W44"/>
    <mergeCell ref="G4:X4"/>
    <mergeCell ref="A7:D7"/>
    <mergeCell ref="E7:G7"/>
    <mergeCell ref="H7:M7"/>
    <mergeCell ref="N7:T7"/>
    <mergeCell ref="U7:AB7"/>
    <mergeCell ref="A1:AB1"/>
    <mergeCell ref="A2:B2"/>
    <mergeCell ref="C2:D2"/>
    <mergeCell ref="E2:F2"/>
    <mergeCell ref="Y2:Z2"/>
    <mergeCell ref="AA2:AB2"/>
    <mergeCell ref="A3:B3"/>
    <mergeCell ref="C3:D3"/>
    <mergeCell ref="E3:F3"/>
    <mergeCell ref="G3:I3"/>
    <mergeCell ref="J3:K3"/>
    <mergeCell ref="L3:N3"/>
    <mergeCell ref="O3:P3"/>
    <mergeCell ref="Q3:X3"/>
    <mergeCell ref="Y3:Z4"/>
    <mergeCell ref="AA3:AB4"/>
    <mergeCell ref="A4:B4"/>
    <mergeCell ref="C4:D4"/>
    <mergeCell ref="E4:F4"/>
    <mergeCell ref="X23:AA23"/>
    <mergeCell ref="A8:D8"/>
    <mergeCell ref="E8:G8"/>
    <mergeCell ref="H8:M8"/>
    <mergeCell ref="U8:AB8"/>
    <mergeCell ref="A9:D9"/>
    <mergeCell ref="E9:G9"/>
    <mergeCell ref="H9:M9"/>
    <mergeCell ref="U9:AB9"/>
    <mergeCell ref="AB14:AB15"/>
    <mergeCell ref="T15:V15"/>
    <mergeCell ref="X15:Z15"/>
    <mergeCell ref="A14:P14"/>
    <mergeCell ref="L15:P15"/>
    <mergeCell ref="A15:E15"/>
    <mergeCell ref="T19:V19"/>
    <mergeCell ref="T17:V17"/>
    <mergeCell ref="A16:E16"/>
    <mergeCell ref="A17:E17"/>
    <mergeCell ref="A18:E18"/>
    <mergeCell ref="L16:P16"/>
    <mergeCell ref="L17:P17"/>
    <mergeCell ref="L18:P18"/>
    <mergeCell ref="X34:AB34"/>
    <mergeCell ref="U35:W35"/>
    <mergeCell ref="Y35:AA35"/>
    <mergeCell ref="X52:AA52"/>
    <mergeCell ref="B53:S53"/>
    <mergeCell ref="Y36:AA39"/>
    <mergeCell ref="A36:A39"/>
    <mergeCell ref="B36:F36"/>
    <mergeCell ref="G36:S36"/>
    <mergeCell ref="U36:W39"/>
    <mergeCell ref="B37:F37"/>
    <mergeCell ref="G37:S37"/>
    <mergeCell ref="B38:F38"/>
    <mergeCell ref="G38:S38"/>
    <mergeCell ref="B39:F39"/>
    <mergeCell ref="G39:S39"/>
    <mergeCell ref="A40:A42"/>
    <mergeCell ref="B40:F40"/>
    <mergeCell ref="G40:S40"/>
    <mergeCell ref="B41:F41"/>
    <mergeCell ref="G41:S41"/>
    <mergeCell ref="B42:F42"/>
    <mergeCell ref="A34:F35"/>
    <mergeCell ref="G42:S42"/>
    <mergeCell ref="B57:O57"/>
    <mergeCell ref="P57:S57"/>
    <mergeCell ref="B58:O58"/>
    <mergeCell ref="P58:S58"/>
    <mergeCell ref="B54:O54"/>
    <mergeCell ref="P54:S54"/>
    <mergeCell ref="B55:O55"/>
    <mergeCell ref="P55:S55"/>
    <mergeCell ref="B56:O56"/>
    <mergeCell ref="P56:S56"/>
    <mergeCell ref="A19:E19"/>
    <mergeCell ref="G34:S35"/>
    <mergeCell ref="T34:W34"/>
    <mergeCell ref="B25:G25"/>
    <mergeCell ref="K25:U25"/>
    <mergeCell ref="Q22:R23"/>
    <mergeCell ref="T21:V21"/>
    <mergeCell ref="B28:G28"/>
    <mergeCell ref="K28:Q28"/>
    <mergeCell ref="R28:U28"/>
    <mergeCell ref="B29:G29"/>
    <mergeCell ref="K29:Q29"/>
    <mergeCell ref="R29:U29"/>
    <mergeCell ref="B26:G26"/>
    <mergeCell ref="K26:Q26"/>
    <mergeCell ref="R26:U26"/>
    <mergeCell ref="B27:G27"/>
    <mergeCell ref="K27:Q27"/>
    <mergeCell ref="R27:U27"/>
    <mergeCell ref="A20:E20"/>
    <mergeCell ref="A21:E21"/>
    <mergeCell ref="G20:K20"/>
    <mergeCell ref="L20:P20"/>
    <mergeCell ref="T20:V20"/>
    <mergeCell ref="G15:K15"/>
    <mergeCell ref="G16:K16"/>
    <mergeCell ref="G17:K17"/>
    <mergeCell ref="G18:K18"/>
    <mergeCell ref="G19:K19"/>
    <mergeCell ref="K30:Q30"/>
    <mergeCell ref="R30:U30"/>
    <mergeCell ref="X16:Z21"/>
    <mergeCell ref="Q14:Q15"/>
    <mergeCell ref="R14:R15"/>
    <mergeCell ref="S14:V14"/>
    <mergeCell ref="W14:AA14"/>
    <mergeCell ref="T18:V18"/>
    <mergeCell ref="T16:V16"/>
    <mergeCell ref="G21:K21"/>
    <mergeCell ref="L21:P21"/>
    <mergeCell ref="L19:P19"/>
    <mergeCell ref="B43:F43"/>
    <mergeCell ref="B44:F44"/>
    <mergeCell ref="B45:F45"/>
    <mergeCell ref="A48:A51"/>
    <mergeCell ref="A45:A47"/>
    <mergeCell ref="A43:A44"/>
    <mergeCell ref="B50:F50"/>
    <mergeCell ref="G50:S50"/>
    <mergeCell ref="B51:F51"/>
    <mergeCell ref="G51:S51"/>
    <mergeCell ref="B46:F46"/>
    <mergeCell ref="G46:S46"/>
    <mergeCell ref="B47:F47"/>
    <mergeCell ref="G47:S47"/>
    <mergeCell ref="B48:F48"/>
    <mergeCell ref="G48:S48"/>
    <mergeCell ref="B49:F49"/>
    <mergeCell ref="G49:S49"/>
    <mergeCell ref="G43:S43"/>
    <mergeCell ref="G44:S44"/>
    <mergeCell ref="G45:S45"/>
  </mergeCells>
  <phoneticPr fontId="1"/>
  <dataValidations count="7">
    <dataValidation type="list" allowBlank="1" showInputMessage="1" showErrorMessage="1" sqref="Q16:Q21" xr:uid="{00000000-0002-0000-0000-000000000000}">
      <formula1>$A$26:$A$29</formula1>
    </dataValidation>
    <dataValidation type="list" allowBlank="1" showDropDown="1" showInputMessage="1" showErrorMessage="1" sqref="S22" xr:uid="{00000000-0002-0000-0000-000001000000}">
      <formula1>$J$26:$J$30</formula1>
    </dataValidation>
    <dataValidation type="list" allowBlank="1" showInputMessage="1" showErrorMessage="1" sqref="S16:S21 W16:W22" xr:uid="{00000000-0002-0000-0000-000002000000}">
      <formula1>$J$26:$J$30</formula1>
    </dataValidation>
    <dataValidation type="list" allowBlank="1" showInputMessage="1" showErrorMessage="1" sqref="E2:F2" xr:uid="{00000000-0002-0000-0000-000003000000}">
      <formula1>"上期,下期"</formula1>
    </dataValidation>
    <dataValidation type="list" allowBlank="1" showInputMessage="1" showErrorMessage="1" sqref="L3:N3" xr:uid="{00000000-0002-0000-0000-000004000000}">
      <formula1>"DEC,BPO,海外,営業,本社"</formula1>
    </dataValidation>
    <dataValidation type="decimal" allowBlank="1" showInputMessage="1" showErrorMessage="1" sqref="R16:R21" xr:uid="{00000000-0002-0000-0000-000005000000}">
      <formula1>0.01</formula1>
      <formula2>1</formula2>
    </dataValidation>
    <dataValidation type="list" allowBlank="1" showInputMessage="1" showErrorMessage="1" sqref="X36:X51 T36:T51" xr:uid="{00000000-0002-0000-0000-000006000000}">
      <formula1>$A$54:$A$58</formula1>
    </dataValidation>
  </dataValidations>
  <pageMargins left="0.51181102362204722" right="0.51181102362204722" top="0.35433070866141736" bottom="0.35433070866141736" header="0.11811023622047245" footer="0.11811023622047245"/>
  <pageSetup paperSize="9" scale="55" fitToHeight="0" orientation="portrait" r:id="rId1"/>
  <rowBreaks count="1" manualBreakCount="1">
    <brk id="3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7000000}">
          <x14:formula1>
            <xm:f>TBL!$I$4:$I$6</xm:f>
          </x14:formula1>
          <xm:sqref>Q3:X3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3">
    <pageSetUpPr fitToPage="1"/>
  </sheetPr>
  <dimension ref="A1:AH58"/>
  <sheetViews>
    <sheetView showGridLines="0" zoomScale="55" zoomScaleNormal="55" zoomScaleSheetLayoutView="70" workbookViewId="0">
      <selection activeCell="W59" sqref="W59"/>
    </sheetView>
  </sheetViews>
  <sheetFormatPr defaultColWidth="4.75" defaultRowHeight="14.25" outlineLevelCol="1" x14ac:dyDescent="0.15"/>
  <cols>
    <col min="1" max="26" width="6" style="12" customWidth="1"/>
    <col min="27" max="28" width="6" style="15" customWidth="1"/>
    <col min="29" max="29" width="4" style="15" customWidth="1"/>
    <col min="30" max="30" width="16" style="26" customWidth="1"/>
    <col min="31" max="33" width="8.125" style="12" hidden="1" customWidth="1" outlineLevel="1"/>
    <col min="34" max="34" width="4.75" style="12" collapsed="1"/>
    <col min="35" max="16384" width="4.75" style="12"/>
  </cols>
  <sheetData>
    <row r="1" spans="1:33" ht="23.25" customHeight="1" thickBot="1" x14ac:dyDescent="0.2">
      <c r="A1" s="253" t="s">
        <v>173</v>
      </c>
      <c r="B1" s="253"/>
      <c r="C1" s="253"/>
      <c r="D1" s="253"/>
      <c r="E1" s="253"/>
      <c r="F1" s="253"/>
      <c r="G1" s="253"/>
      <c r="H1" s="253"/>
      <c r="I1" s="253"/>
      <c r="J1" s="253"/>
      <c r="K1" s="253"/>
      <c r="L1" s="253"/>
      <c r="M1" s="253"/>
      <c r="N1" s="253"/>
      <c r="O1" s="253"/>
      <c r="P1" s="253"/>
      <c r="Q1" s="253"/>
      <c r="R1" s="253"/>
      <c r="S1" s="253"/>
      <c r="T1" s="253"/>
      <c r="U1" s="253"/>
      <c r="V1" s="253"/>
      <c r="W1" s="253"/>
      <c r="X1" s="253"/>
      <c r="Y1" s="253"/>
      <c r="Z1" s="253"/>
      <c r="AA1" s="253"/>
      <c r="AB1" s="253"/>
      <c r="AC1" s="64"/>
      <c r="AD1" s="65" t="s">
        <v>145</v>
      </c>
    </row>
    <row r="2" spans="1:33" ht="23.25" customHeight="1" thickBot="1" x14ac:dyDescent="0.2">
      <c r="A2" s="230" t="s">
        <v>55</v>
      </c>
      <c r="B2" s="231"/>
      <c r="C2" s="268" t="s">
        <v>142</v>
      </c>
      <c r="D2" s="269"/>
      <c r="E2" s="270" t="s">
        <v>148</v>
      </c>
      <c r="F2" s="271"/>
      <c r="G2" s="13"/>
      <c r="H2" s="14"/>
      <c r="I2" s="14"/>
      <c r="J2" s="14"/>
      <c r="K2" s="14"/>
      <c r="L2" s="14"/>
      <c r="M2" s="14"/>
      <c r="N2" s="14"/>
      <c r="O2" s="14"/>
      <c r="P2" s="14"/>
      <c r="Q2" s="14"/>
      <c r="R2" s="14"/>
      <c r="S2" s="14"/>
      <c r="T2" s="14"/>
      <c r="U2" s="14"/>
      <c r="V2" s="14"/>
      <c r="W2" s="14"/>
      <c r="X2" s="14"/>
      <c r="Y2" s="258" t="s">
        <v>54</v>
      </c>
      <c r="Z2" s="258"/>
      <c r="AA2" s="258" t="s">
        <v>53</v>
      </c>
      <c r="AB2" s="258"/>
      <c r="AC2" s="64"/>
      <c r="AD2" s="22" t="s">
        <v>146</v>
      </c>
    </row>
    <row r="3" spans="1:33" ht="23.25" customHeight="1" thickBot="1" x14ac:dyDescent="0.2">
      <c r="A3" s="230" t="s">
        <v>46</v>
      </c>
      <c r="B3" s="231"/>
      <c r="C3" s="268" t="s">
        <v>149</v>
      </c>
      <c r="D3" s="269"/>
      <c r="E3" s="230" t="s">
        <v>47</v>
      </c>
      <c r="F3" s="231"/>
      <c r="G3" s="268" t="s">
        <v>150</v>
      </c>
      <c r="H3" s="279"/>
      <c r="I3" s="269"/>
      <c r="J3" s="230" t="s">
        <v>50</v>
      </c>
      <c r="K3" s="231"/>
      <c r="L3" s="268" t="s">
        <v>155</v>
      </c>
      <c r="M3" s="279"/>
      <c r="N3" s="269"/>
      <c r="O3" s="230" t="s">
        <v>187</v>
      </c>
      <c r="P3" s="231"/>
      <c r="Q3" s="272" t="s">
        <v>195</v>
      </c>
      <c r="R3" s="273"/>
      <c r="S3" s="273"/>
      <c r="T3" s="273"/>
      <c r="U3" s="273"/>
      <c r="V3" s="273"/>
      <c r="W3" s="273"/>
      <c r="X3" s="273"/>
      <c r="Y3" s="264">
        <f>IF(AB23=0,"-",AB23)</f>
        <v>43</v>
      </c>
      <c r="Z3" s="265"/>
      <c r="AA3" s="265">
        <f>AB52</f>
        <v>45</v>
      </c>
      <c r="AB3" s="265"/>
      <c r="AC3" s="64"/>
      <c r="AD3" s="66" t="s">
        <v>147</v>
      </c>
    </row>
    <row r="4" spans="1:33" ht="23.25" customHeight="1" thickBot="1" x14ac:dyDescent="0.2">
      <c r="A4" s="230" t="s">
        <v>49</v>
      </c>
      <c r="B4" s="231"/>
      <c r="C4" s="274" t="s">
        <v>151</v>
      </c>
      <c r="D4" s="275"/>
      <c r="E4" s="230" t="s">
        <v>48</v>
      </c>
      <c r="F4" s="231"/>
      <c r="G4" s="276" t="s">
        <v>183</v>
      </c>
      <c r="H4" s="277"/>
      <c r="I4" s="277"/>
      <c r="J4" s="277"/>
      <c r="K4" s="277"/>
      <c r="L4" s="277"/>
      <c r="M4" s="277"/>
      <c r="N4" s="277"/>
      <c r="O4" s="277"/>
      <c r="P4" s="277"/>
      <c r="Q4" s="277"/>
      <c r="R4" s="277"/>
      <c r="S4" s="277"/>
      <c r="T4" s="277"/>
      <c r="U4" s="277"/>
      <c r="V4" s="277"/>
      <c r="W4" s="277"/>
      <c r="X4" s="278"/>
      <c r="Y4" s="265"/>
      <c r="Z4" s="265"/>
      <c r="AA4" s="265"/>
      <c r="AB4" s="265"/>
      <c r="AC4" s="64"/>
    </row>
    <row r="5" spans="1:33" ht="12.75" customHeight="1" x14ac:dyDescent="0.15">
      <c r="AC5" s="64"/>
    </row>
    <row r="6" spans="1:33" ht="12.75" customHeight="1" x14ac:dyDescent="0.15">
      <c r="A6" s="12" t="s">
        <v>112</v>
      </c>
      <c r="AC6" s="64"/>
    </row>
    <row r="7" spans="1:33" ht="23.25" customHeight="1" x14ac:dyDescent="0.15">
      <c r="A7" s="249"/>
      <c r="B7" s="250"/>
      <c r="C7" s="250"/>
      <c r="D7" s="251"/>
      <c r="E7" s="249" t="s">
        <v>114</v>
      </c>
      <c r="F7" s="250"/>
      <c r="G7" s="251"/>
      <c r="H7" s="249" t="s">
        <v>113</v>
      </c>
      <c r="I7" s="250"/>
      <c r="J7" s="250"/>
      <c r="K7" s="250"/>
      <c r="L7" s="250"/>
      <c r="M7" s="251"/>
      <c r="N7" s="249" t="s">
        <v>110</v>
      </c>
      <c r="O7" s="250"/>
      <c r="P7" s="250"/>
      <c r="Q7" s="250"/>
      <c r="R7" s="250"/>
      <c r="S7" s="250"/>
      <c r="T7" s="251"/>
      <c r="U7" s="252" t="s">
        <v>111</v>
      </c>
      <c r="V7" s="252"/>
      <c r="W7" s="252"/>
      <c r="X7" s="252"/>
      <c r="Y7" s="252"/>
      <c r="Z7" s="252"/>
      <c r="AA7" s="252"/>
      <c r="AB7" s="252"/>
      <c r="AC7" s="64"/>
    </row>
    <row r="8" spans="1:33" ht="23.25" customHeight="1" x14ac:dyDescent="0.15">
      <c r="A8" s="235" t="s">
        <v>105</v>
      </c>
      <c r="B8" s="235"/>
      <c r="C8" s="235"/>
      <c r="D8" s="235"/>
      <c r="E8" s="236"/>
      <c r="F8" s="237"/>
      <c r="G8" s="238"/>
      <c r="H8" s="236"/>
      <c r="I8" s="237"/>
      <c r="J8" s="237"/>
      <c r="K8" s="237"/>
      <c r="L8" s="237"/>
      <c r="M8" s="238"/>
      <c r="N8" s="45"/>
      <c r="O8" s="16" t="s">
        <v>107</v>
      </c>
      <c r="P8" s="46"/>
      <c r="Q8" s="16" t="s">
        <v>108</v>
      </c>
      <c r="R8" s="46"/>
      <c r="S8" s="16" t="s">
        <v>109</v>
      </c>
      <c r="T8" s="47"/>
      <c r="U8" s="236"/>
      <c r="V8" s="237"/>
      <c r="W8" s="237"/>
      <c r="X8" s="237"/>
      <c r="Y8" s="237"/>
      <c r="Z8" s="237"/>
      <c r="AA8" s="237"/>
      <c r="AB8" s="238"/>
      <c r="AC8" s="64"/>
    </row>
    <row r="9" spans="1:33" ht="23.25" customHeight="1" x14ac:dyDescent="0.15">
      <c r="A9" s="235" t="s">
        <v>106</v>
      </c>
      <c r="B9" s="235"/>
      <c r="C9" s="235"/>
      <c r="D9" s="235"/>
      <c r="E9" s="236"/>
      <c r="F9" s="237"/>
      <c r="G9" s="238"/>
      <c r="H9" s="236"/>
      <c r="I9" s="237"/>
      <c r="J9" s="237"/>
      <c r="K9" s="237"/>
      <c r="L9" s="237"/>
      <c r="M9" s="238"/>
      <c r="N9" s="45"/>
      <c r="O9" s="16" t="s">
        <v>107</v>
      </c>
      <c r="P9" s="46"/>
      <c r="Q9" s="16" t="s">
        <v>108</v>
      </c>
      <c r="R9" s="46"/>
      <c r="S9" s="16" t="s">
        <v>109</v>
      </c>
      <c r="T9" s="47"/>
      <c r="U9" s="236"/>
      <c r="V9" s="237"/>
      <c r="W9" s="237"/>
      <c r="X9" s="237"/>
      <c r="Y9" s="237"/>
      <c r="Z9" s="237"/>
      <c r="AA9" s="237"/>
      <c r="AB9" s="238"/>
      <c r="AC9" s="64"/>
    </row>
    <row r="10" spans="1:33" ht="12.75" customHeight="1" x14ac:dyDescent="0.15">
      <c r="AC10" s="64"/>
    </row>
    <row r="11" spans="1:33" ht="23.25" customHeight="1" x14ac:dyDescent="0.15">
      <c r="A11" s="51" t="s">
        <v>51</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8"/>
      <c r="AB11" s="18"/>
      <c r="AC11" s="64"/>
    </row>
    <row r="12" spans="1:33" ht="12.75" customHeight="1" x14ac:dyDescent="0.1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64"/>
      <c r="AD12" s="67"/>
    </row>
    <row r="13" spans="1:33" ht="24" customHeight="1" x14ac:dyDescent="0.25">
      <c r="A13" s="20"/>
      <c r="Q13" s="23"/>
      <c r="R13" s="24">
        <f>1-$Q$22</f>
        <v>0</v>
      </c>
      <c r="AA13" s="12"/>
      <c r="AB13" s="12"/>
      <c r="AC13" s="64"/>
    </row>
    <row r="14" spans="1:33" ht="21.75" customHeight="1" x14ac:dyDescent="0.15">
      <c r="A14" s="241" t="s">
        <v>14</v>
      </c>
      <c r="B14" s="242"/>
      <c r="C14" s="242"/>
      <c r="D14" s="242"/>
      <c r="E14" s="242"/>
      <c r="F14" s="242"/>
      <c r="G14" s="242"/>
      <c r="H14" s="242"/>
      <c r="I14" s="242"/>
      <c r="J14" s="242"/>
      <c r="K14" s="242"/>
      <c r="L14" s="242"/>
      <c r="M14" s="242"/>
      <c r="N14" s="242"/>
      <c r="O14" s="242"/>
      <c r="P14" s="243"/>
      <c r="Q14" s="171" t="s">
        <v>1</v>
      </c>
      <c r="R14" s="171" t="s">
        <v>7</v>
      </c>
      <c r="S14" s="173" t="s">
        <v>5</v>
      </c>
      <c r="T14" s="174"/>
      <c r="U14" s="174"/>
      <c r="V14" s="175"/>
      <c r="W14" s="173" t="s">
        <v>6</v>
      </c>
      <c r="X14" s="174"/>
      <c r="Y14" s="174"/>
      <c r="Z14" s="174"/>
      <c r="AA14" s="174"/>
      <c r="AB14" s="239" t="s">
        <v>104</v>
      </c>
      <c r="AC14" s="64"/>
    </row>
    <row r="15" spans="1:33" ht="21.75" customHeight="1" x14ac:dyDescent="0.15">
      <c r="A15" s="245" t="s">
        <v>0</v>
      </c>
      <c r="B15" s="156"/>
      <c r="C15" s="156"/>
      <c r="D15" s="156"/>
      <c r="E15" s="156"/>
      <c r="F15" s="27" t="s">
        <v>15</v>
      </c>
      <c r="G15" s="156" t="s">
        <v>16</v>
      </c>
      <c r="H15" s="156"/>
      <c r="I15" s="156"/>
      <c r="J15" s="156"/>
      <c r="K15" s="156"/>
      <c r="L15" s="156" t="s">
        <v>20</v>
      </c>
      <c r="M15" s="156"/>
      <c r="N15" s="156"/>
      <c r="O15" s="156"/>
      <c r="P15" s="244"/>
      <c r="Q15" s="172"/>
      <c r="R15" s="172"/>
      <c r="S15" s="81" t="s">
        <v>2</v>
      </c>
      <c r="T15" s="173" t="s">
        <v>3</v>
      </c>
      <c r="U15" s="174"/>
      <c r="V15" s="175"/>
      <c r="W15" s="81" t="s">
        <v>2</v>
      </c>
      <c r="X15" s="173" t="s">
        <v>4</v>
      </c>
      <c r="Y15" s="174"/>
      <c r="Z15" s="175"/>
      <c r="AA15" s="80" t="s">
        <v>13</v>
      </c>
      <c r="AB15" s="240"/>
      <c r="AC15" s="64"/>
      <c r="AE15" s="68" t="s">
        <v>159</v>
      </c>
      <c r="AF15" s="69" t="s">
        <v>156</v>
      </c>
      <c r="AG15" s="69" t="s">
        <v>157</v>
      </c>
    </row>
    <row r="16" spans="1:33" s="26" customFormat="1" ht="138.75" customHeight="1" x14ac:dyDescent="0.15">
      <c r="A16" s="280" t="s">
        <v>176</v>
      </c>
      <c r="B16" s="281"/>
      <c r="C16" s="281"/>
      <c r="D16" s="281"/>
      <c r="E16" s="282"/>
      <c r="F16" s="84" t="s">
        <v>179</v>
      </c>
      <c r="G16" s="283" t="s">
        <v>180</v>
      </c>
      <c r="H16" s="283"/>
      <c r="I16" s="283"/>
      <c r="J16" s="283"/>
      <c r="K16" s="283"/>
      <c r="L16" s="283" t="s">
        <v>153</v>
      </c>
      <c r="M16" s="283"/>
      <c r="N16" s="283"/>
      <c r="O16" s="283"/>
      <c r="P16" s="284"/>
      <c r="Q16" s="61" t="s">
        <v>59</v>
      </c>
      <c r="R16" s="61">
        <v>0.4</v>
      </c>
      <c r="S16" s="62" t="s">
        <v>73</v>
      </c>
      <c r="T16" s="285"/>
      <c r="U16" s="286"/>
      <c r="V16" s="287"/>
      <c r="W16" s="63" t="s">
        <v>70</v>
      </c>
      <c r="X16" s="288" t="s">
        <v>153</v>
      </c>
      <c r="Y16" s="289"/>
      <c r="Z16" s="290"/>
      <c r="AA16" s="25">
        <f>IF(COUNTA(Q16,R16,W16)=3,VLOOKUP(Q16&amp;W16,TBL!F:G,2,0),"")</f>
        <v>55</v>
      </c>
      <c r="AB16" s="21">
        <f t="shared" ref="AB16:AB21" si="0">IF(AND(AE16="OK",AA16&lt;&gt;""),R16*AA16,"")</f>
        <v>22</v>
      </c>
      <c r="AC16" s="64" t="str">
        <f>IF(AD16&lt;&gt;"","←","")</f>
        <v>←</v>
      </c>
      <c r="AD16" s="26" t="str">
        <f>IF(COUNTA(A16:R16)=0,"",IF(COUNTIF(AE16:AG16,"OK")=3,"OK",IF(COUNTIF(AE16:AF16,"OK")=2,"・目標設定OK"&amp;CHAR(10)&amp;AG16,IF(AE16="OK",AF16,IF(AF16="OK",AE16,AF16&amp;CHAR(10)&amp;AE16)))))</f>
        <v>OK</v>
      </c>
      <c r="AE16" s="70" t="str">
        <f>IF(COUNTA(A16:R16)&lt;&gt;0,IF($Q$22&lt;&gt;1,"・ウェイト確認","OK"),"-")</f>
        <v>OK</v>
      </c>
      <c r="AF16" s="70" t="str">
        <f>IF(COUNTA(A16:R16)&lt;&gt;0,IF(COUNTA(A16:R16)&lt;&gt;6,"・未入力項目あり","OK"),"-")</f>
        <v>OK</v>
      </c>
      <c r="AG16" s="70" t="str">
        <f t="shared" ref="AG16:AG21" si="1">IF(AF16="OK",IF(W16&lt;&gt;"","OK","・上司評価未入力"),"-")</f>
        <v>OK</v>
      </c>
    </row>
    <row r="17" spans="1:33" s="26" customFormat="1" ht="138.75" customHeight="1" x14ac:dyDescent="0.15">
      <c r="A17" s="280" t="s">
        <v>177</v>
      </c>
      <c r="B17" s="281"/>
      <c r="C17" s="281"/>
      <c r="D17" s="281"/>
      <c r="E17" s="282"/>
      <c r="F17" s="84" t="s">
        <v>179</v>
      </c>
      <c r="G17" s="283" t="s">
        <v>181</v>
      </c>
      <c r="H17" s="283"/>
      <c r="I17" s="283"/>
      <c r="J17" s="283"/>
      <c r="K17" s="283"/>
      <c r="L17" s="283" t="s">
        <v>152</v>
      </c>
      <c r="M17" s="283"/>
      <c r="N17" s="283"/>
      <c r="O17" s="283"/>
      <c r="P17" s="284"/>
      <c r="Q17" s="61" t="s">
        <v>61</v>
      </c>
      <c r="R17" s="61">
        <v>0.3</v>
      </c>
      <c r="S17" s="62" t="s">
        <v>70</v>
      </c>
      <c r="T17" s="285"/>
      <c r="U17" s="286"/>
      <c r="V17" s="287"/>
      <c r="W17" s="63" t="s">
        <v>73</v>
      </c>
      <c r="X17" s="291"/>
      <c r="Y17" s="292"/>
      <c r="Z17" s="293"/>
      <c r="AA17" s="25">
        <f>IF(COUNTA(Q17,R17,W17)=3,VLOOKUP(Q17&amp;W17,TBL!F:G,2,0),"")</f>
        <v>35</v>
      </c>
      <c r="AB17" s="21">
        <f t="shared" si="0"/>
        <v>10.5</v>
      </c>
      <c r="AC17" s="64" t="str">
        <f t="shared" ref="AC17:AC21" si="2">IF(AD17&lt;&gt;"","←","")</f>
        <v>←</v>
      </c>
      <c r="AD17" s="26" t="str">
        <f t="shared" ref="AD17:AD21" si="3">IF(COUNTA(A17:R17)=0,"",IF(COUNTIF(AE17:AG17,"OK")=3,"OK",IF(COUNTIF(AE17:AF17,"OK")=2,"・目標設定OK"&amp;CHAR(10)&amp;AG17,IF(AE17="OK",AF17,IF(AF17="OK",AE17,AF17&amp;CHAR(10)&amp;AE17)))))</f>
        <v>OK</v>
      </c>
      <c r="AE17" s="70" t="str">
        <f t="shared" ref="AE17:AE21" si="4">IF(COUNTA(A17:R17)&lt;&gt;0,IF($Q$22&lt;&gt;1,"・ウェイト確認","OK"),"-")</f>
        <v>OK</v>
      </c>
      <c r="AF17" s="70" t="str">
        <f t="shared" ref="AF17:AF21" si="5">IF(COUNTA(A17:R17)&lt;&gt;0,IF(COUNTA(A17:R17)&lt;&gt;6,"・未入力項目あり","OK"),"-")</f>
        <v>OK</v>
      </c>
      <c r="AG17" s="70" t="str">
        <f t="shared" si="1"/>
        <v>OK</v>
      </c>
    </row>
    <row r="18" spans="1:33" s="26" customFormat="1" ht="138.75" customHeight="1" x14ac:dyDescent="0.15">
      <c r="A18" s="280" t="s">
        <v>178</v>
      </c>
      <c r="B18" s="281"/>
      <c r="C18" s="281"/>
      <c r="D18" s="281"/>
      <c r="E18" s="282"/>
      <c r="F18" s="84" t="s">
        <v>179</v>
      </c>
      <c r="G18" s="283" t="s">
        <v>182</v>
      </c>
      <c r="H18" s="283"/>
      <c r="I18" s="283"/>
      <c r="J18" s="283"/>
      <c r="K18" s="283"/>
      <c r="L18" s="283" t="s">
        <v>152</v>
      </c>
      <c r="M18" s="283"/>
      <c r="N18" s="283"/>
      <c r="O18" s="283"/>
      <c r="P18" s="284"/>
      <c r="Q18" s="61" t="s">
        <v>61</v>
      </c>
      <c r="R18" s="61">
        <v>0.3</v>
      </c>
      <c r="S18" s="62" t="s">
        <v>73</v>
      </c>
      <c r="T18" s="285"/>
      <c r="U18" s="286"/>
      <c r="V18" s="287"/>
      <c r="W18" s="63" t="s">
        <v>73</v>
      </c>
      <c r="X18" s="291"/>
      <c r="Y18" s="292"/>
      <c r="Z18" s="293"/>
      <c r="AA18" s="25">
        <f>IF(COUNTA(Q18,R18,W18)=3,VLOOKUP(Q18&amp;W18,TBL!F:G,2,0),"")</f>
        <v>35</v>
      </c>
      <c r="AB18" s="21">
        <f t="shared" si="0"/>
        <v>10.5</v>
      </c>
      <c r="AC18" s="64" t="str">
        <f t="shared" si="2"/>
        <v>←</v>
      </c>
      <c r="AD18" s="26" t="str">
        <f t="shared" si="3"/>
        <v>OK</v>
      </c>
      <c r="AE18" s="70" t="str">
        <f t="shared" si="4"/>
        <v>OK</v>
      </c>
      <c r="AF18" s="70" t="str">
        <f t="shared" si="5"/>
        <v>OK</v>
      </c>
      <c r="AG18" s="70" t="str">
        <f t="shared" si="1"/>
        <v>OK</v>
      </c>
    </row>
    <row r="19" spans="1:33" s="26" customFormat="1" ht="138.75" customHeight="1" x14ac:dyDescent="0.15">
      <c r="A19" s="280"/>
      <c r="B19" s="281"/>
      <c r="C19" s="281"/>
      <c r="D19" s="281"/>
      <c r="E19" s="282"/>
      <c r="F19" s="84"/>
      <c r="G19" s="283"/>
      <c r="H19" s="283"/>
      <c r="I19" s="283"/>
      <c r="J19" s="283"/>
      <c r="K19" s="283"/>
      <c r="L19" s="283"/>
      <c r="M19" s="283"/>
      <c r="N19" s="283"/>
      <c r="O19" s="283"/>
      <c r="P19" s="284"/>
      <c r="Q19" s="85"/>
      <c r="R19" s="85"/>
      <c r="S19" s="86"/>
      <c r="T19" s="285"/>
      <c r="U19" s="286"/>
      <c r="V19" s="287"/>
      <c r="W19" s="63"/>
      <c r="X19" s="291"/>
      <c r="Y19" s="292"/>
      <c r="Z19" s="293"/>
      <c r="AA19" s="25" t="str">
        <f>IF(COUNTA(Q19,R19,W19)=3,VLOOKUP(Q19&amp;W19,TBL!F:G,2,0),"")</f>
        <v/>
      </c>
      <c r="AB19" s="21" t="str">
        <f t="shared" si="0"/>
        <v/>
      </c>
      <c r="AC19" s="64" t="str">
        <f t="shared" si="2"/>
        <v/>
      </c>
      <c r="AD19" s="26" t="str">
        <f t="shared" si="3"/>
        <v/>
      </c>
      <c r="AE19" s="70" t="str">
        <f t="shared" si="4"/>
        <v>-</v>
      </c>
      <c r="AF19" s="70" t="str">
        <f t="shared" si="5"/>
        <v>-</v>
      </c>
      <c r="AG19" s="70" t="str">
        <f t="shared" si="1"/>
        <v>-</v>
      </c>
    </row>
    <row r="20" spans="1:33" s="26" customFormat="1" ht="138.75" customHeight="1" x14ac:dyDescent="0.15">
      <c r="A20" s="280"/>
      <c r="B20" s="281"/>
      <c r="C20" s="281"/>
      <c r="D20" s="281"/>
      <c r="E20" s="282"/>
      <c r="F20" s="84"/>
      <c r="G20" s="283"/>
      <c r="H20" s="283"/>
      <c r="I20" s="283"/>
      <c r="J20" s="283"/>
      <c r="K20" s="283"/>
      <c r="L20" s="283"/>
      <c r="M20" s="283"/>
      <c r="N20" s="283"/>
      <c r="O20" s="283"/>
      <c r="P20" s="284"/>
      <c r="Q20" s="85"/>
      <c r="R20" s="85"/>
      <c r="S20" s="86"/>
      <c r="T20" s="285"/>
      <c r="U20" s="286"/>
      <c r="V20" s="287"/>
      <c r="W20" s="63"/>
      <c r="X20" s="291"/>
      <c r="Y20" s="292"/>
      <c r="Z20" s="293"/>
      <c r="AA20" s="25" t="str">
        <f>IF(COUNTA(Q20,R20,W20)=3,VLOOKUP(Q20&amp;W20,TBL!F:G,2,0),"")</f>
        <v/>
      </c>
      <c r="AB20" s="21" t="str">
        <f t="shared" si="0"/>
        <v/>
      </c>
      <c r="AC20" s="64" t="str">
        <f t="shared" si="2"/>
        <v/>
      </c>
      <c r="AD20" s="26" t="str">
        <f t="shared" si="3"/>
        <v/>
      </c>
      <c r="AE20" s="70" t="str">
        <f t="shared" si="4"/>
        <v>-</v>
      </c>
      <c r="AF20" s="70" t="str">
        <f t="shared" si="5"/>
        <v>-</v>
      </c>
      <c r="AG20" s="70" t="str">
        <f t="shared" si="1"/>
        <v>-</v>
      </c>
    </row>
    <row r="21" spans="1:33" s="26" customFormat="1" ht="138.75" customHeight="1" x14ac:dyDescent="0.15">
      <c r="A21" s="280"/>
      <c r="B21" s="281"/>
      <c r="C21" s="281"/>
      <c r="D21" s="281"/>
      <c r="E21" s="282"/>
      <c r="F21" s="84"/>
      <c r="G21" s="283"/>
      <c r="H21" s="283"/>
      <c r="I21" s="283"/>
      <c r="J21" s="283"/>
      <c r="K21" s="283"/>
      <c r="L21" s="283"/>
      <c r="M21" s="283"/>
      <c r="N21" s="283"/>
      <c r="O21" s="283"/>
      <c r="P21" s="284"/>
      <c r="Q21" s="85"/>
      <c r="R21" s="85"/>
      <c r="S21" s="86"/>
      <c r="T21" s="285"/>
      <c r="U21" s="286"/>
      <c r="V21" s="287"/>
      <c r="W21" s="63"/>
      <c r="X21" s="294"/>
      <c r="Y21" s="295"/>
      <c r="Z21" s="296"/>
      <c r="AA21" s="25" t="str">
        <f>IF(COUNTA(Q21,R21,W21)=3,VLOOKUP(Q21&amp;W21,TBL!F:G,2,0),"")</f>
        <v/>
      </c>
      <c r="AB21" s="21" t="str">
        <f t="shared" si="0"/>
        <v/>
      </c>
      <c r="AC21" s="64" t="str">
        <f t="shared" si="2"/>
        <v/>
      </c>
      <c r="AD21" s="26" t="str">
        <f t="shared" si="3"/>
        <v/>
      </c>
      <c r="AE21" s="70" t="str">
        <f t="shared" si="4"/>
        <v>-</v>
      </c>
      <c r="AF21" s="70" t="str">
        <f t="shared" si="5"/>
        <v>-</v>
      </c>
      <c r="AG21" s="70" t="str">
        <f t="shared" si="1"/>
        <v>-</v>
      </c>
    </row>
    <row r="22" spans="1:33" s="26" customFormat="1" ht="11.25" customHeight="1" x14ac:dyDescent="0.15">
      <c r="A22" s="28"/>
      <c r="B22" s="28"/>
      <c r="C22" s="28"/>
      <c r="D22" s="28"/>
      <c r="E22" s="28"/>
      <c r="F22" s="28"/>
      <c r="G22" s="29"/>
      <c r="H22" s="29"/>
      <c r="I22" s="29"/>
      <c r="J22" s="29"/>
      <c r="K22" s="30"/>
      <c r="L22" s="30"/>
      <c r="M22" s="30"/>
      <c r="N22" s="30"/>
      <c r="O22" s="30"/>
      <c r="P22" s="30"/>
      <c r="Q22" s="195">
        <f>SUM(R16:R21)</f>
        <v>1</v>
      </c>
      <c r="R22" s="195"/>
      <c r="S22" s="31"/>
      <c r="T22" s="30"/>
      <c r="U22" s="30"/>
      <c r="V22" s="30"/>
      <c r="W22" s="31"/>
      <c r="X22" s="30"/>
      <c r="Y22" s="30"/>
      <c r="Z22" s="30"/>
      <c r="AA22" s="32"/>
      <c r="AB22" s="32"/>
      <c r="AC22" s="64"/>
    </row>
    <row r="23" spans="1:33" ht="28.5" x14ac:dyDescent="0.15">
      <c r="C23" s="26" t="s">
        <v>143</v>
      </c>
      <c r="Q23" s="196"/>
      <c r="R23" s="196"/>
      <c r="S23" s="33"/>
      <c r="X23" s="232" t="s">
        <v>54</v>
      </c>
      <c r="Y23" s="233"/>
      <c r="Z23" s="233"/>
      <c r="AA23" s="234"/>
      <c r="AB23" s="34">
        <f>IF(COUNT(AB16:AB21)=COUNTIF(AE13:AE21,"OK"),SUM(AB16:AB21),"-")</f>
        <v>43</v>
      </c>
      <c r="AC23" s="64"/>
    </row>
    <row r="24" spans="1:33" x14ac:dyDescent="0.15">
      <c r="X24" s="12" t="s">
        <v>82</v>
      </c>
      <c r="AC24" s="64"/>
    </row>
    <row r="25" spans="1:33" ht="24" customHeight="1" x14ac:dyDescent="0.15">
      <c r="A25" s="82" t="s">
        <v>56</v>
      </c>
      <c r="B25" s="194" t="s">
        <v>45</v>
      </c>
      <c r="C25" s="194"/>
      <c r="D25" s="194"/>
      <c r="E25" s="194"/>
      <c r="F25" s="194"/>
      <c r="G25" s="194"/>
      <c r="J25" s="82" t="s">
        <v>65</v>
      </c>
      <c r="K25" s="194" t="s">
        <v>66</v>
      </c>
      <c r="L25" s="194"/>
      <c r="M25" s="194"/>
      <c r="N25" s="194"/>
      <c r="O25" s="194"/>
      <c r="P25" s="194"/>
      <c r="Q25" s="194"/>
      <c r="R25" s="194"/>
      <c r="S25" s="194"/>
      <c r="T25" s="194"/>
      <c r="U25" s="194"/>
      <c r="X25" s="35" t="s">
        <v>115</v>
      </c>
      <c r="Y25" s="82" t="s">
        <v>57</v>
      </c>
      <c r="Z25" s="82" t="s">
        <v>59</v>
      </c>
      <c r="AA25" s="82" t="s">
        <v>61</v>
      </c>
      <c r="AB25" s="82" t="s">
        <v>63</v>
      </c>
      <c r="AC25" s="64"/>
    </row>
    <row r="26" spans="1:33" ht="23.25" customHeight="1" x14ac:dyDescent="0.15">
      <c r="A26" s="36" t="s">
        <v>57</v>
      </c>
      <c r="B26" s="197" t="s">
        <v>58</v>
      </c>
      <c r="C26" s="197"/>
      <c r="D26" s="197"/>
      <c r="E26" s="197"/>
      <c r="F26" s="197"/>
      <c r="G26" s="197"/>
      <c r="J26" s="37" t="s">
        <v>67</v>
      </c>
      <c r="K26" s="158" t="s">
        <v>68</v>
      </c>
      <c r="L26" s="158"/>
      <c r="M26" s="158"/>
      <c r="N26" s="158"/>
      <c r="O26" s="158"/>
      <c r="P26" s="158"/>
      <c r="Q26" s="158"/>
      <c r="R26" s="159" t="s">
        <v>69</v>
      </c>
      <c r="S26" s="160"/>
      <c r="T26" s="160"/>
      <c r="U26" s="161"/>
      <c r="X26" s="38" t="s">
        <v>67</v>
      </c>
      <c r="Y26" s="36">
        <v>80</v>
      </c>
      <c r="Z26" s="36">
        <v>70</v>
      </c>
      <c r="AA26" s="36">
        <v>55</v>
      </c>
      <c r="AB26" s="36">
        <v>45</v>
      </c>
      <c r="AC26" s="64"/>
    </row>
    <row r="27" spans="1:33" ht="23.25" customHeight="1" x14ac:dyDescent="0.15">
      <c r="A27" s="36" t="s">
        <v>59</v>
      </c>
      <c r="B27" s="197" t="s">
        <v>60</v>
      </c>
      <c r="C27" s="197"/>
      <c r="D27" s="197"/>
      <c r="E27" s="197"/>
      <c r="F27" s="197"/>
      <c r="G27" s="197"/>
      <c r="J27" s="37" t="s">
        <v>70</v>
      </c>
      <c r="K27" s="158" t="s">
        <v>71</v>
      </c>
      <c r="L27" s="158"/>
      <c r="M27" s="158"/>
      <c r="N27" s="158"/>
      <c r="O27" s="158"/>
      <c r="P27" s="158"/>
      <c r="Q27" s="158"/>
      <c r="R27" s="159" t="s">
        <v>72</v>
      </c>
      <c r="S27" s="160"/>
      <c r="T27" s="160"/>
      <c r="U27" s="161"/>
      <c r="X27" s="38" t="s">
        <v>70</v>
      </c>
      <c r="Y27" s="36">
        <v>65</v>
      </c>
      <c r="Z27" s="36">
        <v>55</v>
      </c>
      <c r="AA27" s="36">
        <v>45</v>
      </c>
      <c r="AB27" s="36">
        <v>35</v>
      </c>
      <c r="AC27" s="64"/>
    </row>
    <row r="28" spans="1:33" ht="23.25" customHeight="1" x14ac:dyDescent="0.15">
      <c r="A28" s="36" t="s">
        <v>61</v>
      </c>
      <c r="B28" s="197" t="s">
        <v>62</v>
      </c>
      <c r="C28" s="197"/>
      <c r="D28" s="197"/>
      <c r="E28" s="197"/>
      <c r="F28" s="197"/>
      <c r="G28" s="197"/>
      <c r="J28" s="39" t="s">
        <v>73</v>
      </c>
      <c r="K28" s="198" t="s">
        <v>74</v>
      </c>
      <c r="L28" s="198"/>
      <c r="M28" s="198"/>
      <c r="N28" s="198"/>
      <c r="O28" s="198"/>
      <c r="P28" s="198"/>
      <c r="Q28" s="198"/>
      <c r="R28" s="199" t="s">
        <v>75</v>
      </c>
      <c r="S28" s="200"/>
      <c r="T28" s="200"/>
      <c r="U28" s="201"/>
      <c r="X28" s="38" t="s">
        <v>73</v>
      </c>
      <c r="Y28" s="36">
        <v>55</v>
      </c>
      <c r="Z28" s="36">
        <v>45</v>
      </c>
      <c r="AA28" s="36">
        <v>35</v>
      </c>
      <c r="AB28" s="36">
        <v>25</v>
      </c>
      <c r="AC28" s="64"/>
    </row>
    <row r="29" spans="1:33" ht="23.25" customHeight="1" x14ac:dyDescent="0.15">
      <c r="A29" s="36" t="s">
        <v>63</v>
      </c>
      <c r="B29" s="197" t="s">
        <v>64</v>
      </c>
      <c r="C29" s="197"/>
      <c r="D29" s="197"/>
      <c r="E29" s="197"/>
      <c r="F29" s="197"/>
      <c r="G29" s="197"/>
      <c r="J29" s="37" t="s">
        <v>76</v>
      </c>
      <c r="K29" s="158" t="s">
        <v>77</v>
      </c>
      <c r="L29" s="158"/>
      <c r="M29" s="158"/>
      <c r="N29" s="158"/>
      <c r="O29" s="158"/>
      <c r="P29" s="158"/>
      <c r="Q29" s="158"/>
      <c r="R29" s="159" t="s">
        <v>78</v>
      </c>
      <c r="S29" s="160"/>
      <c r="T29" s="160"/>
      <c r="U29" s="161"/>
      <c r="X29" s="38" t="s">
        <v>76</v>
      </c>
      <c r="Y29" s="36">
        <v>40</v>
      </c>
      <c r="Z29" s="36">
        <v>30</v>
      </c>
      <c r="AA29" s="36">
        <v>25</v>
      </c>
      <c r="AB29" s="36">
        <v>15</v>
      </c>
      <c r="AC29" s="64"/>
    </row>
    <row r="30" spans="1:33" ht="23.25" customHeight="1" x14ac:dyDescent="0.15">
      <c r="J30" s="37" t="s">
        <v>79</v>
      </c>
      <c r="K30" s="158" t="s">
        <v>80</v>
      </c>
      <c r="L30" s="158"/>
      <c r="M30" s="158"/>
      <c r="N30" s="158"/>
      <c r="O30" s="158"/>
      <c r="P30" s="158"/>
      <c r="Q30" s="158"/>
      <c r="R30" s="159" t="s">
        <v>81</v>
      </c>
      <c r="S30" s="160"/>
      <c r="T30" s="160"/>
      <c r="U30" s="161"/>
      <c r="X30" s="38" t="s">
        <v>79</v>
      </c>
      <c r="Y30" s="36">
        <v>25</v>
      </c>
      <c r="Z30" s="36">
        <v>15</v>
      </c>
      <c r="AA30" s="36">
        <v>10</v>
      </c>
      <c r="AB30" s="36">
        <v>1</v>
      </c>
      <c r="AC30" s="64"/>
    </row>
    <row r="31" spans="1:33" ht="12.75" customHeight="1" x14ac:dyDescent="0.15">
      <c r="AC31" s="64"/>
    </row>
    <row r="32" spans="1:33" ht="23.25" customHeight="1" x14ac:dyDescent="0.15">
      <c r="A32" s="51" t="s">
        <v>52</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8"/>
      <c r="AB32" s="18"/>
      <c r="AC32" s="64"/>
    </row>
    <row r="33" spans="1:32" ht="16.5" customHeight="1" x14ac:dyDescent="0.15">
      <c r="AC33" s="64"/>
    </row>
    <row r="34" spans="1:32" ht="25.5" customHeight="1" x14ac:dyDescent="0.15">
      <c r="A34" s="185" t="s">
        <v>21</v>
      </c>
      <c r="B34" s="186"/>
      <c r="C34" s="186"/>
      <c r="D34" s="186"/>
      <c r="E34" s="186"/>
      <c r="F34" s="187"/>
      <c r="G34" s="185" t="s">
        <v>22</v>
      </c>
      <c r="H34" s="186"/>
      <c r="I34" s="186"/>
      <c r="J34" s="186"/>
      <c r="K34" s="186"/>
      <c r="L34" s="186"/>
      <c r="M34" s="186"/>
      <c r="N34" s="186"/>
      <c r="O34" s="186"/>
      <c r="P34" s="186"/>
      <c r="Q34" s="186"/>
      <c r="R34" s="186"/>
      <c r="S34" s="187"/>
      <c r="T34" s="191" t="s">
        <v>23</v>
      </c>
      <c r="U34" s="192"/>
      <c r="V34" s="192"/>
      <c r="W34" s="193"/>
      <c r="X34" s="191" t="s">
        <v>24</v>
      </c>
      <c r="Y34" s="192"/>
      <c r="Z34" s="192"/>
      <c r="AA34" s="192"/>
      <c r="AB34" s="193"/>
      <c r="AC34" s="64"/>
    </row>
    <row r="35" spans="1:32" ht="25.5" customHeight="1" x14ac:dyDescent="0.15">
      <c r="A35" s="188"/>
      <c r="B35" s="189"/>
      <c r="C35" s="189"/>
      <c r="D35" s="189"/>
      <c r="E35" s="189"/>
      <c r="F35" s="190"/>
      <c r="G35" s="188"/>
      <c r="H35" s="189"/>
      <c r="I35" s="189"/>
      <c r="J35" s="189"/>
      <c r="K35" s="189"/>
      <c r="L35" s="189"/>
      <c r="M35" s="189"/>
      <c r="N35" s="189"/>
      <c r="O35" s="189"/>
      <c r="P35" s="189"/>
      <c r="Q35" s="189"/>
      <c r="R35" s="189"/>
      <c r="S35" s="190"/>
      <c r="T35" s="40" t="s">
        <v>25</v>
      </c>
      <c r="U35" s="191" t="s">
        <v>26</v>
      </c>
      <c r="V35" s="192"/>
      <c r="W35" s="193"/>
      <c r="X35" s="41" t="s">
        <v>25</v>
      </c>
      <c r="Y35" s="191" t="s">
        <v>27</v>
      </c>
      <c r="Z35" s="192"/>
      <c r="AA35" s="193"/>
      <c r="AB35" s="41" t="s">
        <v>103</v>
      </c>
      <c r="AC35" s="64"/>
      <c r="AE35" s="69" t="s">
        <v>158</v>
      </c>
      <c r="AF35" s="69" t="s">
        <v>157</v>
      </c>
    </row>
    <row r="36" spans="1:32" ht="66" customHeight="1" x14ac:dyDescent="0.15">
      <c r="A36" s="145" t="s">
        <v>99</v>
      </c>
      <c r="B36" s="212" t="s">
        <v>28</v>
      </c>
      <c r="C36" s="213"/>
      <c r="D36" s="213"/>
      <c r="E36" s="213"/>
      <c r="F36" s="214"/>
      <c r="G36" s="215" t="s">
        <v>172</v>
      </c>
      <c r="H36" s="216"/>
      <c r="I36" s="216"/>
      <c r="J36" s="216"/>
      <c r="K36" s="216"/>
      <c r="L36" s="216"/>
      <c r="M36" s="216"/>
      <c r="N36" s="216"/>
      <c r="O36" s="216"/>
      <c r="P36" s="216"/>
      <c r="Q36" s="216"/>
      <c r="R36" s="216"/>
      <c r="S36" s="217"/>
      <c r="T36" s="55" t="s">
        <v>73</v>
      </c>
      <c r="U36" s="297" t="s">
        <v>154</v>
      </c>
      <c r="V36" s="298"/>
      <c r="W36" s="299"/>
      <c r="X36" s="56" t="s">
        <v>73</v>
      </c>
      <c r="Y36" s="310" t="s">
        <v>154</v>
      </c>
      <c r="Z36" s="311"/>
      <c r="AA36" s="312"/>
      <c r="AB36" s="73">
        <f>IF(X36&lt;&gt;"",VLOOKUP(X36,TBL!Q:R,2,0),"")</f>
        <v>40</v>
      </c>
      <c r="AC36" s="64" t="str">
        <f t="shared" ref="AC36:AC51" si="6">IF(AD36&lt;&gt;"","←","")</f>
        <v>←</v>
      </c>
      <c r="AD36" s="26" t="str">
        <f t="shared" ref="AD36:AD51" si="7">IF(G36="","",IF(AND(AE36="OK",AF36="OK"),"OK",IF(AE36="OK",AF36,IF(AF36="OK",AE36,AE36&amp;CHAR(10)&amp;AF36))))</f>
        <v>OK</v>
      </c>
      <c r="AE36" s="70" t="str">
        <f t="shared" ref="AE36:AE51" si="8">IF(G36="","-",IF(T36&lt;&gt;"","OK","・自己評価未入力"))</f>
        <v>OK</v>
      </c>
      <c r="AF36" s="70" t="str">
        <f t="shared" ref="AF36:AF51" si="9">IF(G36="","-",IF(X36&lt;&gt;"","OK","・上司評価未入力"))</f>
        <v>OK</v>
      </c>
    </row>
    <row r="37" spans="1:32" ht="66" customHeight="1" x14ac:dyDescent="0.15">
      <c r="A37" s="211"/>
      <c r="B37" s="218" t="s">
        <v>29</v>
      </c>
      <c r="C37" s="219"/>
      <c r="D37" s="219"/>
      <c r="E37" s="219"/>
      <c r="F37" s="220"/>
      <c r="G37" s="221" t="s">
        <v>160</v>
      </c>
      <c r="H37" s="222"/>
      <c r="I37" s="222"/>
      <c r="J37" s="222"/>
      <c r="K37" s="222"/>
      <c r="L37" s="222"/>
      <c r="M37" s="222"/>
      <c r="N37" s="222"/>
      <c r="O37" s="222"/>
      <c r="P37" s="222"/>
      <c r="Q37" s="222"/>
      <c r="R37" s="222"/>
      <c r="S37" s="223"/>
      <c r="T37" s="57" t="s">
        <v>73</v>
      </c>
      <c r="U37" s="300"/>
      <c r="V37" s="301"/>
      <c r="W37" s="302"/>
      <c r="X37" s="58" t="s">
        <v>73</v>
      </c>
      <c r="Y37" s="313"/>
      <c r="Z37" s="314"/>
      <c r="AA37" s="315"/>
      <c r="AB37" s="74">
        <f>IF(X37&lt;&gt;"",VLOOKUP(X37,TBL!Q:R,2,0),"")</f>
        <v>40</v>
      </c>
      <c r="AC37" s="64" t="str">
        <f t="shared" si="6"/>
        <v>←</v>
      </c>
      <c r="AD37" s="26" t="str">
        <f t="shared" si="7"/>
        <v>OK</v>
      </c>
      <c r="AE37" s="70" t="str">
        <f t="shared" si="8"/>
        <v>OK</v>
      </c>
      <c r="AF37" s="70" t="str">
        <f t="shared" si="9"/>
        <v>OK</v>
      </c>
    </row>
    <row r="38" spans="1:32" ht="66" customHeight="1" x14ac:dyDescent="0.15">
      <c r="A38" s="143"/>
      <c r="B38" s="306" t="s">
        <v>30</v>
      </c>
      <c r="C38" s="307"/>
      <c r="D38" s="307"/>
      <c r="E38" s="307"/>
      <c r="F38" s="308"/>
      <c r="G38" s="146" t="s">
        <v>161</v>
      </c>
      <c r="H38" s="147"/>
      <c r="I38" s="147"/>
      <c r="J38" s="147"/>
      <c r="K38" s="147"/>
      <c r="L38" s="147"/>
      <c r="M38" s="147"/>
      <c r="N38" s="147"/>
      <c r="O38" s="147"/>
      <c r="P38" s="147"/>
      <c r="Q38" s="147"/>
      <c r="R38" s="147"/>
      <c r="S38" s="148"/>
      <c r="T38" s="59" t="s">
        <v>73</v>
      </c>
      <c r="U38" s="303"/>
      <c r="V38" s="304"/>
      <c r="W38" s="305"/>
      <c r="X38" s="60" t="s">
        <v>70</v>
      </c>
      <c r="Y38" s="313"/>
      <c r="Z38" s="314"/>
      <c r="AA38" s="315"/>
      <c r="AB38" s="75">
        <f>IF(X38&lt;&gt;"",VLOOKUP(X38,TBL!Q:R,2,0),"")</f>
        <v>60</v>
      </c>
      <c r="AC38" s="64" t="str">
        <f t="shared" si="6"/>
        <v>←</v>
      </c>
      <c r="AD38" s="26" t="str">
        <f t="shared" si="7"/>
        <v>OK</v>
      </c>
      <c r="AE38" s="70" t="str">
        <f t="shared" si="8"/>
        <v>OK</v>
      </c>
      <c r="AF38" s="70" t="str">
        <f t="shared" si="9"/>
        <v>OK</v>
      </c>
    </row>
    <row r="39" spans="1:32" ht="66" customHeight="1" x14ac:dyDescent="0.15">
      <c r="A39" s="145" t="s">
        <v>100</v>
      </c>
      <c r="B39" s="212" t="s">
        <v>31</v>
      </c>
      <c r="C39" s="213"/>
      <c r="D39" s="213"/>
      <c r="E39" s="213"/>
      <c r="F39" s="214"/>
      <c r="G39" s="215" t="s">
        <v>162</v>
      </c>
      <c r="H39" s="216"/>
      <c r="I39" s="216"/>
      <c r="J39" s="216"/>
      <c r="K39" s="216"/>
      <c r="L39" s="216"/>
      <c r="M39" s="216"/>
      <c r="N39" s="216"/>
      <c r="O39" s="216"/>
      <c r="P39" s="216"/>
      <c r="Q39" s="216"/>
      <c r="R39" s="216"/>
      <c r="S39" s="217"/>
      <c r="T39" s="55" t="s">
        <v>73</v>
      </c>
      <c r="U39" s="297" t="s">
        <v>154</v>
      </c>
      <c r="V39" s="298"/>
      <c r="W39" s="299"/>
      <c r="X39" s="56" t="s">
        <v>73</v>
      </c>
      <c r="Y39" s="313"/>
      <c r="Z39" s="314"/>
      <c r="AA39" s="315"/>
      <c r="AB39" s="73">
        <f>IF(X39&lt;&gt;"",VLOOKUP(X39,TBL!Q:R,2,0),"")</f>
        <v>40</v>
      </c>
      <c r="AC39" s="64" t="str">
        <f t="shared" si="6"/>
        <v>←</v>
      </c>
      <c r="AD39" s="26" t="str">
        <f t="shared" si="7"/>
        <v>OK</v>
      </c>
      <c r="AE39" s="70" t="str">
        <f t="shared" si="8"/>
        <v>OK</v>
      </c>
      <c r="AF39" s="70" t="str">
        <f t="shared" si="9"/>
        <v>OK</v>
      </c>
    </row>
    <row r="40" spans="1:32" ht="66" customHeight="1" x14ac:dyDescent="0.15">
      <c r="A40" s="211"/>
      <c r="B40" s="218" t="s">
        <v>32</v>
      </c>
      <c r="C40" s="219"/>
      <c r="D40" s="219"/>
      <c r="E40" s="219"/>
      <c r="F40" s="220"/>
      <c r="G40" s="221" t="s">
        <v>163</v>
      </c>
      <c r="H40" s="222"/>
      <c r="I40" s="222"/>
      <c r="J40" s="222"/>
      <c r="K40" s="222"/>
      <c r="L40" s="222"/>
      <c r="M40" s="222"/>
      <c r="N40" s="222"/>
      <c r="O40" s="222"/>
      <c r="P40" s="222"/>
      <c r="Q40" s="222"/>
      <c r="R40" s="222"/>
      <c r="S40" s="223"/>
      <c r="T40" s="57" t="s">
        <v>73</v>
      </c>
      <c r="U40" s="300"/>
      <c r="V40" s="301"/>
      <c r="W40" s="302"/>
      <c r="X40" s="58" t="s">
        <v>67</v>
      </c>
      <c r="Y40" s="313"/>
      <c r="Z40" s="314"/>
      <c r="AA40" s="315"/>
      <c r="AB40" s="74">
        <f>IF(X40&lt;&gt;"",VLOOKUP(X40,TBL!Q:R,2,0),"")</f>
        <v>80</v>
      </c>
      <c r="AC40" s="64" t="str">
        <f t="shared" si="6"/>
        <v>←</v>
      </c>
      <c r="AD40" s="26" t="str">
        <f t="shared" si="7"/>
        <v>OK</v>
      </c>
      <c r="AE40" s="70" t="str">
        <f t="shared" si="8"/>
        <v>OK</v>
      </c>
      <c r="AF40" s="70" t="str">
        <f t="shared" si="9"/>
        <v>OK</v>
      </c>
    </row>
    <row r="41" spans="1:32" ht="66" customHeight="1" x14ac:dyDescent="0.15">
      <c r="A41" s="143"/>
      <c r="B41" s="306" t="s">
        <v>33</v>
      </c>
      <c r="C41" s="307"/>
      <c r="D41" s="307"/>
      <c r="E41" s="307"/>
      <c r="F41" s="308"/>
      <c r="G41" s="146" t="s">
        <v>164</v>
      </c>
      <c r="H41" s="147"/>
      <c r="I41" s="147"/>
      <c r="J41" s="147"/>
      <c r="K41" s="147"/>
      <c r="L41" s="147"/>
      <c r="M41" s="147"/>
      <c r="N41" s="147"/>
      <c r="O41" s="147"/>
      <c r="P41" s="147"/>
      <c r="Q41" s="147"/>
      <c r="R41" s="147"/>
      <c r="S41" s="148"/>
      <c r="T41" s="59" t="s">
        <v>73</v>
      </c>
      <c r="U41" s="303"/>
      <c r="V41" s="304"/>
      <c r="W41" s="305"/>
      <c r="X41" s="60" t="s">
        <v>70</v>
      </c>
      <c r="Y41" s="313"/>
      <c r="Z41" s="314"/>
      <c r="AA41" s="315"/>
      <c r="AB41" s="75">
        <f>IF(X41&lt;&gt;"",VLOOKUP(X41,TBL!Q:R,2,0),"")</f>
        <v>60</v>
      </c>
      <c r="AC41" s="64" t="str">
        <f t="shared" si="6"/>
        <v>←</v>
      </c>
      <c r="AD41" s="26" t="str">
        <f t="shared" si="7"/>
        <v>OK</v>
      </c>
      <c r="AE41" s="70" t="str">
        <f t="shared" si="8"/>
        <v>OK</v>
      </c>
      <c r="AF41" s="70" t="str">
        <f t="shared" si="9"/>
        <v>OK</v>
      </c>
    </row>
    <row r="42" spans="1:32" ht="66" customHeight="1" x14ac:dyDescent="0.15">
      <c r="A42" s="145" t="s">
        <v>101</v>
      </c>
      <c r="B42" s="212" t="s">
        <v>34</v>
      </c>
      <c r="C42" s="213"/>
      <c r="D42" s="213"/>
      <c r="E42" s="213"/>
      <c r="F42" s="214"/>
      <c r="G42" s="215" t="s">
        <v>174</v>
      </c>
      <c r="H42" s="216"/>
      <c r="I42" s="216"/>
      <c r="J42" s="216"/>
      <c r="K42" s="216"/>
      <c r="L42" s="216"/>
      <c r="M42" s="216"/>
      <c r="N42" s="216"/>
      <c r="O42" s="216"/>
      <c r="P42" s="216"/>
      <c r="Q42" s="216"/>
      <c r="R42" s="216"/>
      <c r="S42" s="217"/>
      <c r="T42" s="55" t="s">
        <v>73</v>
      </c>
      <c r="U42" s="297" t="s">
        <v>154</v>
      </c>
      <c r="V42" s="298"/>
      <c r="W42" s="299"/>
      <c r="X42" s="56" t="s">
        <v>73</v>
      </c>
      <c r="Y42" s="313"/>
      <c r="Z42" s="314"/>
      <c r="AA42" s="315"/>
      <c r="AB42" s="73">
        <f>IF(X42&lt;&gt;"",VLOOKUP(X42,TBL!Q:R,2,0),"")</f>
        <v>40</v>
      </c>
      <c r="AC42" s="64" t="str">
        <f t="shared" si="6"/>
        <v>←</v>
      </c>
      <c r="AD42" s="26" t="str">
        <f t="shared" si="7"/>
        <v>OK</v>
      </c>
      <c r="AE42" s="70" t="str">
        <f t="shared" si="8"/>
        <v>OK</v>
      </c>
      <c r="AF42" s="70" t="str">
        <f t="shared" si="9"/>
        <v>OK</v>
      </c>
    </row>
    <row r="43" spans="1:32" ht="66" customHeight="1" x14ac:dyDescent="0.15">
      <c r="A43" s="211"/>
      <c r="B43" s="218" t="s">
        <v>35</v>
      </c>
      <c r="C43" s="219"/>
      <c r="D43" s="219"/>
      <c r="E43" s="219"/>
      <c r="F43" s="220"/>
      <c r="G43" s="221" t="s">
        <v>165</v>
      </c>
      <c r="H43" s="222"/>
      <c r="I43" s="222"/>
      <c r="J43" s="222"/>
      <c r="K43" s="222"/>
      <c r="L43" s="222"/>
      <c r="M43" s="222"/>
      <c r="N43" s="222"/>
      <c r="O43" s="222"/>
      <c r="P43" s="222"/>
      <c r="Q43" s="222"/>
      <c r="R43" s="222"/>
      <c r="S43" s="223"/>
      <c r="T43" s="57" t="s">
        <v>73</v>
      </c>
      <c r="U43" s="300"/>
      <c r="V43" s="301"/>
      <c r="W43" s="302"/>
      <c r="X43" s="58" t="s">
        <v>73</v>
      </c>
      <c r="Y43" s="313"/>
      <c r="Z43" s="314"/>
      <c r="AA43" s="315"/>
      <c r="AB43" s="74">
        <f>IF(X43&lt;&gt;"",VLOOKUP(X43,TBL!Q:R,2,0),"")</f>
        <v>40</v>
      </c>
      <c r="AC43" s="64" t="str">
        <f t="shared" si="6"/>
        <v>←</v>
      </c>
      <c r="AD43" s="26" t="str">
        <f t="shared" si="7"/>
        <v>OK</v>
      </c>
      <c r="AE43" s="70" t="str">
        <f t="shared" si="8"/>
        <v>OK</v>
      </c>
      <c r="AF43" s="70" t="str">
        <f t="shared" si="9"/>
        <v>OK</v>
      </c>
    </row>
    <row r="44" spans="1:32" ht="66" customHeight="1" x14ac:dyDescent="0.15">
      <c r="A44" s="211"/>
      <c r="B44" s="218" t="s">
        <v>36</v>
      </c>
      <c r="C44" s="219"/>
      <c r="D44" s="219"/>
      <c r="E44" s="219"/>
      <c r="F44" s="220"/>
      <c r="G44" s="221" t="s">
        <v>175</v>
      </c>
      <c r="H44" s="222"/>
      <c r="I44" s="222"/>
      <c r="J44" s="222"/>
      <c r="K44" s="222"/>
      <c r="L44" s="222"/>
      <c r="M44" s="222"/>
      <c r="N44" s="222"/>
      <c r="O44" s="222"/>
      <c r="P44" s="222"/>
      <c r="Q44" s="222"/>
      <c r="R44" s="222"/>
      <c r="S44" s="223"/>
      <c r="T44" s="57" t="s">
        <v>73</v>
      </c>
      <c r="U44" s="300"/>
      <c r="V44" s="301"/>
      <c r="W44" s="302"/>
      <c r="X44" s="58" t="s">
        <v>73</v>
      </c>
      <c r="Y44" s="313"/>
      <c r="Z44" s="314"/>
      <c r="AA44" s="315"/>
      <c r="AB44" s="74">
        <f>IF(X44&lt;&gt;"",VLOOKUP(X44,TBL!Q:R,2,0),"")</f>
        <v>40</v>
      </c>
      <c r="AC44" s="64" t="str">
        <f t="shared" si="6"/>
        <v>←</v>
      </c>
      <c r="AD44" s="26" t="str">
        <f t="shared" si="7"/>
        <v>OK</v>
      </c>
      <c r="AE44" s="70" t="str">
        <f t="shared" si="8"/>
        <v>OK</v>
      </c>
      <c r="AF44" s="70" t="str">
        <f t="shared" si="9"/>
        <v>OK</v>
      </c>
    </row>
    <row r="45" spans="1:32" ht="66" customHeight="1" x14ac:dyDescent="0.15">
      <c r="A45" s="143"/>
      <c r="B45" s="306" t="s">
        <v>37</v>
      </c>
      <c r="C45" s="307"/>
      <c r="D45" s="307"/>
      <c r="E45" s="307"/>
      <c r="F45" s="308"/>
      <c r="G45" s="146" t="s">
        <v>166</v>
      </c>
      <c r="H45" s="147"/>
      <c r="I45" s="147"/>
      <c r="J45" s="147"/>
      <c r="K45" s="147"/>
      <c r="L45" s="147"/>
      <c r="M45" s="147"/>
      <c r="N45" s="147"/>
      <c r="O45" s="147"/>
      <c r="P45" s="147"/>
      <c r="Q45" s="147"/>
      <c r="R45" s="147"/>
      <c r="S45" s="148"/>
      <c r="T45" s="59" t="s">
        <v>73</v>
      </c>
      <c r="U45" s="303"/>
      <c r="V45" s="304"/>
      <c r="W45" s="305"/>
      <c r="X45" s="60" t="s">
        <v>73</v>
      </c>
      <c r="Y45" s="313"/>
      <c r="Z45" s="314"/>
      <c r="AA45" s="315"/>
      <c r="AB45" s="75">
        <f>IF(X45&lt;&gt;"",VLOOKUP(X45,TBL!Q:R,2,0),"")</f>
        <v>40</v>
      </c>
      <c r="AC45" s="64" t="str">
        <f t="shared" si="6"/>
        <v>←</v>
      </c>
      <c r="AD45" s="26" t="str">
        <f t="shared" si="7"/>
        <v>OK</v>
      </c>
      <c r="AE45" s="70" t="str">
        <f t="shared" si="8"/>
        <v>OK</v>
      </c>
      <c r="AF45" s="70" t="str">
        <f t="shared" si="9"/>
        <v>OK</v>
      </c>
    </row>
    <row r="46" spans="1:32" ht="66" customHeight="1" x14ac:dyDescent="0.15">
      <c r="A46" s="145" t="s">
        <v>102</v>
      </c>
      <c r="B46" s="212" t="s">
        <v>38</v>
      </c>
      <c r="C46" s="213"/>
      <c r="D46" s="213"/>
      <c r="E46" s="213"/>
      <c r="F46" s="214"/>
      <c r="G46" s="215" t="s">
        <v>167</v>
      </c>
      <c r="H46" s="216"/>
      <c r="I46" s="216"/>
      <c r="J46" s="216"/>
      <c r="K46" s="216"/>
      <c r="L46" s="216"/>
      <c r="M46" s="216"/>
      <c r="N46" s="216"/>
      <c r="O46" s="216"/>
      <c r="P46" s="216"/>
      <c r="Q46" s="216"/>
      <c r="R46" s="216"/>
      <c r="S46" s="217"/>
      <c r="T46" s="55" t="s">
        <v>73</v>
      </c>
      <c r="U46" s="297" t="s">
        <v>154</v>
      </c>
      <c r="V46" s="298"/>
      <c r="W46" s="299"/>
      <c r="X46" s="56" t="s">
        <v>73</v>
      </c>
      <c r="Y46" s="313"/>
      <c r="Z46" s="314"/>
      <c r="AA46" s="315"/>
      <c r="AB46" s="73">
        <f>IF(X46&lt;&gt;"",VLOOKUP(X46,TBL!Q:R,2,0),"")</f>
        <v>40</v>
      </c>
      <c r="AC46" s="64" t="str">
        <f t="shared" si="6"/>
        <v>←</v>
      </c>
      <c r="AD46" s="26" t="str">
        <f t="shared" si="7"/>
        <v>OK</v>
      </c>
      <c r="AE46" s="70" t="str">
        <f t="shared" si="8"/>
        <v>OK</v>
      </c>
      <c r="AF46" s="70" t="str">
        <f t="shared" si="9"/>
        <v>OK</v>
      </c>
    </row>
    <row r="47" spans="1:32" ht="66" customHeight="1" x14ac:dyDescent="0.15">
      <c r="A47" s="211"/>
      <c r="B47" s="218" t="s">
        <v>39</v>
      </c>
      <c r="C47" s="219"/>
      <c r="D47" s="219"/>
      <c r="E47" s="219"/>
      <c r="F47" s="220"/>
      <c r="G47" s="221" t="s">
        <v>168</v>
      </c>
      <c r="H47" s="222"/>
      <c r="I47" s="222"/>
      <c r="J47" s="222"/>
      <c r="K47" s="222"/>
      <c r="L47" s="222"/>
      <c r="M47" s="222"/>
      <c r="N47" s="222"/>
      <c r="O47" s="222"/>
      <c r="P47" s="222"/>
      <c r="Q47" s="222"/>
      <c r="R47" s="222"/>
      <c r="S47" s="223"/>
      <c r="T47" s="57" t="s">
        <v>73</v>
      </c>
      <c r="U47" s="300"/>
      <c r="V47" s="301"/>
      <c r="W47" s="302"/>
      <c r="X47" s="58" t="s">
        <v>70</v>
      </c>
      <c r="Y47" s="313"/>
      <c r="Z47" s="314"/>
      <c r="AA47" s="315"/>
      <c r="AB47" s="74">
        <f>IF(X47&lt;&gt;"",VLOOKUP(X47,TBL!Q:R,2,0),"")</f>
        <v>60</v>
      </c>
      <c r="AC47" s="64" t="str">
        <f t="shared" si="6"/>
        <v>←</v>
      </c>
      <c r="AD47" s="26" t="str">
        <f t="shared" si="7"/>
        <v>OK</v>
      </c>
      <c r="AE47" s="70" t="str">
        <f t="shared" si="8"/>
        <v>OK</v>
      </c>
      <c r="AF47" s="70" t="str">
        <f t="shared" si="9"/>
        <v>OK</v>
      </c>
    </row>
    <row r="48" spans="1:32" ht="66" customHeight="1" x14ac:dyDescent="0.15">
      <c r="A48" s="211"/>
      <c r="B48" s="218" t="s">
        <v>40</v>
      </c>
      <c r="C48" s="219"/>
      <c r="D48" s="219"/>
      <c r="E48" s="219"/>
      <c r="F48" s="220"/>
      <c r="G48" s="221" t="s">
        <v>41</v>
      </c>
      <c r="H48" s="222"/>
      <c r="I48" s="222"/>
      <c r="J48" s="222"/>
      <c r="K48" s="222"/>
      <c r="L48" s="222"/>
      <c r="M48" s="222"/>
      <c r="N48" s="222"/>
      <c r="O48" s="222"/>
      <c r="P48" s="222"/>
      <c r="Q48" s="222"/>
      <c r="R48" s="222"/>
      <c r="S48" s="223"/>
      <c r="T48" s="57" t="s">
        <v>73</v>
      </c>
      <c r="U48" s="300"/>
      <c r="V48" s="301"/>
      <c r="W48" s="302"/>
      <c r="X48" s="58" t="s">
        <v>73</v>
      </c>
      <c r="Y48" s="313"/>
      <c r="Z48" s="314"/>
      <c r="AA48" s="315"/>
      <c r="AB48" s="74">
        <f>IF(X48&lt;&gt;"",VLOOKUP(X48,TBL!Q:R,2,0),"")</f>
        <v>40</v>
      </c>
      <c r="AC48" s="64" t="str">
        <f t="shared" si="6"/>
        <v>←</v>
      </c>
      <c r="AD48" s="26" t="str">
        <f t="shared" si="7"/>
        <v>OK</v>
      </c>
      <c r="AE48" s="70" t="str">
        <f t="shared" si="8"/>
        <v>OK</v>
      </c>
      <c r="AF48" s="70" t="str">
        <f t="shared" si="9"/>
        <v>OK</v>
      </c>
    </row>
    <row r="49" spans="1:32" ht="66" customHeight="1" x14ac:dyDescent="0.15">
      <c r="A49" s="211"/>
      <c r="B49" s="218" t="s">
        <v>42</v>
      </c>
      <c r="C49" s="219"/>
      <c r="D49" s="219"/>
      <c r="E49" s="219"/>
      <c r="F49" s="220"/>
      <c r="G49" s="221" t="s">
        <v>169</v>
      </c>
      <c r="H49" s="222"/>
      <c r="I49" s="222"/>
      <c r="J49" s="222"/>
      <c r="K49" s="222"/>
      <c r="L49" s="222"/>
      <c r="M49" s="222"/>
      <c r="N49" s="222"/>
      <c r="O49" s="222"/>
      <c r="P49" s="222"/>
      <c r="Q49" s="222"/>
      <c r="R49" s="222"/>
      <c r="S49" s="223"/>
      <c r="T49" s="57" t="s">
        <v>73</v>
      </c>
      <c r="U49" s="300"/>
      <c r="V49" s="301"/>
      <c r="W49" s="302"/>
      <c r="X49" s="58" t="s">
        <v>76</v>
      </c>
      <c r="Y49" s="313"/>
      <c r="Z49" s="314"/>
      <c r="AA49" s="315"/>
      <c r="AB49" s="74">
        <f>IF(X49&lt;&gt;"",VLOOKUP(X49,TBL!Q:R,2,0),"")</f>
        <v>20</v>
      </c>
      <c r="AC49" s="64" t="str">
        <f t="shared" si="6"/>
        <v>←</v>
      </c>
      <c r="AD49" s="26" t="str">
        <f t="shared" si="7"/>
        <v>OK</v>
      </c>
      <c r="AE49" s="70" t="str">
        <f t="shared" si="8"/>
        <v>OK</v>
      </c>
      <c r="AF49" s="70" t="str">
        <f t="shared" si="9"/>
        <v>OK</v>
      </c>
    </row>
    <row r="50" spans="1:32" ht="66" customHeight="1" x14ac:dyDescent="0.15">
      <c r="A50" s="211"/>
      <c r="B50" s="218" t="s">
        <v>43</v>
      </c>
      <c r="C50" s="219"/>
      <c r="D50" s="219"/>
      <c r="E50" s="219"/>
      <c r="F50" s="220"/>
      <c r="G50" s="221" t="s">
        <v>170</v>
      </c>
      <c r="H50" s="222"/>
      <c r="I50" s="222"/>
      <c r="J50" s="222"/>
      <c r="K50" s="222"/>
      <c r="L50" s="222"/>
      <c r="M50" s="222"/>
      <c r="N50" s="222"/>
      <c r="O50" s="222"/>
      <c r="P50" s="222"/>
      <c r="Q50" s="222"/>
      <c r="R50" s="222"/>
      <c r="S50" s="223"/>
      <c r="T50" s="57" t="s">
        <v>73</v>
      </c>
      <c r="U50" s="300"/>
      <c r="V50" s="301"/>
      <c r="W50" s="302"/>
      <c r="X50" s="58" t="s">
        <v>73</v>
      </c>
      <c r="Y50" s="313"/>
      <c r="Z50" s="314"/>
      <c r="AA50" s="315"/>
      <c r="AB50" s="74">
        <f>IF(X50&lt;&gt;"",VLOOKUP(X50,TBL!Q:R,2,0),"")</f>
        <v>40</v>
      </c>
      <c r="AC50" s="64" t="str">
        <f t="shared" si="6"/>
        <v>←</v>
      </c>
      <c r="AD50" s="26" t="str">
        <f t="shared" si="7"/>
        <v>OK</v>
      </c>
      <c r="AE50" s="70" t="str">
        <f t="shared" si="8"/>
        <v>OK</v>
      </c>
      <c r="AF50" s="70" t="str">
        <f t="shared" si="9"/>
        <v>OK</v>
      </c>
    </row>
    <row r="51" spans="1:32" ht="66" customHeight="1" x14ac:dyDescent="0.15">
      <c r="A51" s="143"/>
      <c r="B51" s="306" t="s">
        <v>44</v>
      </c>
      <c r="C51" s="307"/>
      <c r="D51" s="307"/>
      <c r="E51" s="307"/>
      <c r="F51" s="308"/>
      <c r="G51" s="146" t="s">
        <v>171</v>
      </c>
      <c r="H51" s="147"/>
      <c r="I51" s="147"/>
      <c r="J51" s="147"/>
      <c r="K51" s="147"/>
      <c r="L51" s="147"/>
      <c r="M51" s="147"/>
      <c r="N51" s="147"/>
      <c r="O51" s="147"/>
      <c r="P51" s="147"/>
      <c r="Q51" s="147"/>
      <c r="R51" s="147"/>
      <c r="S51" s="148"/>
      <c r="T51" s="59" t="s">
        <v>73</v>
      </c>
      <c r="U51" s="303"/>
      <c r="V51" s="304"/>
      <c r="W51" s="305"/>
      <c r="X51" s="60" t="s">
        <v>73</v>
      </c>
      <c r="Y51" s="313"/>
      <c r="Z51" s="314"/>
      <c r="AA51" s="315"/>
      <c r="AB51" s="75">
        <f>IF(X51&lt;&gt;"",VLOOKUP(X51,TBL!Q:R,2,0),"")</f>
        <v>40</v>
      </c>
      <c r="AC51" s="64" t="str">
        <f t="shared" si="6"/>
        <v>←</v>
      </c>
      <c r="AD51" s="26" t="str">
        <f t="shared" si="7"/>
        <v>OK</v>
      </c>
      <c r="AE51" s="70" t="str">
        <f t="shared" si="8"/>
        <v>OK</v>
      </c>
      <c r="AF51" s="70" t="str">
        <f t="shared" si="9"/>
        <v>OK</v>
      </c>
    </row>
    <row r="52" spans="1:32" ht="28.5" x14ac:dyDescent="0.15">
      <c r="A52" s="76"/>
      <c r="B52" s="76"/>
      <c r="C52" s="76"/>
      <c r="D52" s="76"/>
      <c r="E52" s="76"/>
      <c r="F52" s="76"/>
      <c r="G52" s="76"/>
      <c r="H52" s="76"/>
      <c r="I52" s="76"/>
      <c r="J52" s="76"/>
      <c r="K52" s="76"/>
      <c r="L52" s="76"/>
      <c r="M52" s="76"/>
      <c r="N52" s="76"/>
      <c r="O52" s="76"/>
      <c r="P52" s="76"/>
      <c r="Q52" s="76"/>
      <c r="R52" s="76"/>
      <c r="S52" s="76"/>
      <c r="T52" s="76"/>
      <c r="U52" s="77" t="s">
        <v>144</v>
      </c>
      <c r="V52" s="76"/>
      <c r="W52" s="76"/>
      <c r="X52" s="309" t="s">
        <v>53</v>
      </c>
      <c r="Y52" s="309"/>
      <c r="Z52" s="309"/>
      <c r="AA52" s="309"/>
      <c r="AB52" s="78">
        <f>IF(COUNT(AB36:AB51)=16,ROUND(AVERAGE(AB36:AB51),0),"-")</f>
        <v>45</v>
      </c>
      <c r="AC52" s="64"/>
    </row>
    <row r="53" spans="1:32" ht="24" customHeight="1" x14ac:dyDescent="0.15">
      <c r="A53" s="42" t="s">
        <v>65</v>
      </c>
      <c r="B53" s="205" t="s">
        <v>66</v>
      </c>
      <c r="C53" s="206"/>
      <c r="D53" s="206"/>
      <c r="E53" s="206"/>
      <c r="F53" s="206"/>
      <c r="G53" s="206"/>
      <c r="H53" s="206"/>
      <c r="I53" s="206"/>
      <c r="J53" s="206"/>
      <c r="K53" s="206"/>
      <c r="L53" s="206"/>
      <c r="M53" s="206"/>
      <c r="N53" s="206"/>
      <c r="O53" s="206"/>
      <c r="P53" s="206"/>
      <c r="Q53" s="206"/>
      <c r="R53" s="206"/>
      <c r="S53" s="207"/>
      <c r="T53" s="42" t="s">
        <v>83</v>
      </c>
      <c r="U53" s="76"/>
      <c r="V53" s="76"/>
      <c r="W53" s="76"/>
      <c r="X53" s="76"/>
      <c r="Y53" s="76"/>
      <c r="Z53" s="76"/>
      <c r="AA53" s="79"/>
      <c r="AB53" s="79"/>
      <c r="AC53" s="64"/>
    </row>
    <row r="54" spans="1:32" ht="24" customHeight="1" x14ac:dyDescent="0.15">
      <c r="A54" s="43" t="s">
        <v>67</v>
      </c>
      <c r="B54" s="202" t="s">
        <v>84</v>
      </c>
      <c r="C54" s="202"/>
      <c r="D54" s="202"/>
      <c r="E54" s="202"/>
      <c r="F54" s="202"/>
      <c r="G54" s="202"/>
      <c r="H54" s="202"/>
      <c r="I54" s="202"/>
      <c r="J54" s="202"/>
      <c r="K54" s="202"/>
      <c r="L54" s="202"/>
      <c r="M54" s="202"/>
      <c r="N54" s="202"/>
      <c r="O54" s="202"/>
      <c r="P54" s="202" t="s">
        <v>69</v>
      </c>
      <c r="Q54" s="202"/>
      <c r="R54" s="202"/>
      <c r="S54" s="202"/>
      <c r="T54" s="43">
        <v>80</v>
      </c>
      <c r="AC54" s="64"/>
    </row>
    <row r="55" spans="1:32" ht="24" customHeight="1" x14ac:dyDescent="0.15">
      <c r="A55" s="43" t="s">
        <v>70</v>
      </c>
      <c r="B55" s="202" t="s">
        <v>85</v>
      </c>
      <c r="C55" s="202"/>
      <c r="D55" s="202"/>
      <c r="E55" s="202"/>
      <c r="F55" s="202"/>
      <c r="G55" s="202"/>
      <c r="H55" s="202"/>
      <c r="I55" s="202"/>
      <c r="J55" s="202"/>
      <c r="K55" s="202"/>
      <c r="L55" s="202"/>
      <c r="M55" s="202"/>
      <c r="N55" s="202"/>
      <c r="O55" s="202"/>
      <c r="P55" s="202" t="s">
        <v>72</v>
      </c>
      <c r="Q55" s="202"/>
      <c r="R55" s="202"/>
      <c r="S55" s="202"/>
      <c r="T55" s="43">
        <v>60</v>
      </c>
    </row>
    <row r="56" spans="1:32" ht="24" customHeight="1" x14ac:dyDescent="0.15">
      <c r="A56" s="44" t="s">
        <v>73</v>
      </c>
      <c r="B56" s="203" t="s">
        <v>86</v>
      </c>
      <c r="C56" s="203"/>
      <c r="D56" s="203"/>
      <c r="E56" s="203"/>
      <c r="F56" s="203"/>
      <c r="G56" s="203"/>
      <c r="H56" s="203"/>
      <c r="I56" s="203"/>
      <c r="J56" s="203"/>
      <c r="K56" s="203"/>
      <c r="L56" s="203"/>
      <c r="M56" s="203"/>
      <c r="N56" s="203"/>
      <c r="O56" s="203"/>
      <c r="P56" s="203" t="s">
        <v>75</v>
      </c>
      <c r="Q56" s="203"/>
      <c r="R56" s="203"/>
      <c r="S56" s="203"/>
      <c r="T56" s="44">
        <v>40</v>
      </c>
    </row>
    <row r="57" spans="1:32" ht="24" customHeight="1" x14ac:dyDescent="0.15">
      <c r="A57" s="43" t="s">
        <v>76</v>
      </c>
      <c r="B57" s="202" t="s">
        <v>87</v>
      </c>
      <c r="C57" s="202"/>
      <c r="D57" s="202"/>
      <c r="E57" s="202"/>
      <c r="F57" s="202"/>
      <c r="G57" s="202"/>
      <c r="H57" s="202"/>
      <c r="I57" s="202"/>
      <c r="J57" s="202"/>
      <c r="K57" s="202"/>
      <c r="L57" s="202"/>
      <c r="M57" s="202"/>
      <c r="N57" s="202"/>
      <c r="O57" s="202"/>
      <c r="P57" s="202" t="s">
        <v>78</v>
      </c>
      <c r="Q57" s="202"/>
      <c r="R57" s="202"/>
      <c r="S57" s="202"/>
      <c r="T57" s="43">
        <v>20</v>
      </c>
    </row>
    <row r="58" spans="1:32" ht="24" customHeight="1" x14ac:dyDescent="0.15">
      <c r="A58" s="43" t="s">
        <v>79</v>
      </c>
      <c r="B58" s="202" t="s">
        <v>88</v>
      </c>
      <c r="C58" s="202"/>
      <c r="D58" s="202"/>
      <c r="E58" s="202"/>
      <c r="F58" s="202"/>
      <c r="G58" s="202"/>
      <c r="H58" s="202"/>
      <c r="I58" s="202"/>
      <c r="J58" s="202"/>
      <c r="K58" s="202"/>
      <c r="L58" s="202"/>
      <c r="M58" s="202"/>
      <c r="N58" s="202"/>
      <c r="O58" s="202"/>
      <c r="P58" s="202" t="s">
        <v>81</v>
      </c>
      <c r="Q58" s="202"/>
      <c r="R58" s="202"/>
      <c r="S58" s="202"/>
      <c r="T58" s="43">
        <v>1</v>
      </c>
    </row>
  </sheetData>
  <sheetProtection sheet="1" objects="1" scenarios="1" formatCells="0" formatRows="0"/>
  <mergeCells count="146">
    <mergeCell ref="B57:O57"/>
    <mergeCell ref="P57:S57"/>
    <mergeCell ref="B58:O58"/>
    <mergeCell ref="P58:S58"/>
    <mergeCell ref="B54:O54"/>
    <mergeCell ref="P54:S54"/>
    <mergeCell ref="B55:O55"/>
    <mergeCell ref="P55:S55"/>
    <mergeCell ref="B56:O56"/>
    <mergeCell ref="P56:S56"/>
    <mergeCell ref="B50:F50"/>
    <mergeCell ref="G50:S50"/>
    <mergeCell ref="B51:F51"/>
    <mergeCell ref="G51:S51"/>
    <mergeCell ref="X52:AA52"/>
    <mergeCell ref="B53:S53"/>
    <mergeCell ref="A46:A51"/>
    <mergeCell ref="B46:F46"/>
    <mergeCell ref="G46:S46"/>
    <mergeCell ref="U46:W51"/>
    <mergeCell ref="B47:F47"/>
    <mergeCell ref="G47:S47"/>
    <mergeCell ref="B48:F48"/>
    <mergeCell ref="G48:S48"/>
    <mergeCell ref="B49:F49"/>
    <mergeCell ref="G49:S49"/>
    <mergeCell ref="Y36:AA51"/>
    <mergeCell ref="A42:A45"/>
    <mergeCell ref="B42:F42"/>
    <mergeCell ref="G42:S42"/>
    <mergeCell ref="U42:W45"/>
    <mergeCell ref="B43:F43"/>
    <mergeCell ref="G43:S43"/>
    <mergeCell ref="B44:F44"/>
    <mergeCell ref="G44:S44"/>
    <mergeCell ref="B45:F45"/>
    <mergeCell ref="G45:S45"/>
    <mergeCell ref="B39:F39"/>
    <mergeCell ref="G39:S39"/>
    <mergeCell ref="U39:W41"/>
    <mergeCell ref="B40:F40"/>
    <mergeCell ref="G40:S40"/>
    <mergeCell ref="B41:F41"/>
    <mergeCell ref="G41:S41"/>
    <mergeCell ref="A36:A38"/>
    <mergeCell ref="B36:F36"/>
    <mergeCell ref="G36:S36"/>
    <mergeCell ref="U36:W38"/>
    <mergeCell ref="B37:F37"/>
    <mergeCell ref="G37:S37"/>
    <mergeCell ref="B38:F38"/>
    <mergeCell ref="G38:S38"/>
    <mergeCell ref="A39:A41"/>
    <mergeCell ref="K30:Q30"/>
    <mergeCell ref="R30:U30"/>
    <mergeCell ref="A34:F35"/>
    <mergeCell ref="G34:S35"/>
    <mergeCell ref="T34:W34"/>
    <mergeCell ref="X34:AB34"/>
    <mergeCell ref="U35:W35"/>
    <mergeCell ref="Y35:AA35"/>
    <mergeCell ref="B28:G28"/>
    <mergeCell ref="K28:Q28"/>
    <mergeCell ref="R28:U28"/>
    <mergeCell ref="B29:G29"/>
    <mergeCell ref="K29:Q29"/>
    <mergeCell ref="R29:U29"/>
    <mergeCell ref="B25:G25"/>
    <mergeCell ref="K25:U25"/>
    <mergeCell ref="B26:G26"/>
    <mergeCell ref="K26:Q26"/>
    <mergeCell ref="R26:U26"/>
    <mergeCell ref="B27:G27"/>
    <mergeCell ref="K27:Q27"/>
    <mergeCell ref="R27:U27"/>
    <mergeCell ref="A21:E21"/>
    <mergeCell ref="G21:K21"/>
    <mergeCell ref="L21:P21"/>
    <mergeCell ref="T21:V21"/>
    <mergeCell ref="Q22:R23"/>
    <mergeCell ref="A16:E16"/>
    <mergeCell ref="G16:K16"/>
    <mergeCell ref="L16:P16"/>
    <mergeCell ref="T16:V16"/>
    <mergeCell ref="X16:Z21"/>
    <mergeCell ref="A17:E17"/>
    <mergeCell ref="G17:K17"/>
    <mergeCell ref="L17:P17"/>
    <mergeCell ref="T17:V17"/>
    <mergeCell ref="A18:E18"/>
    <mergeCell ref="G18:K18"/>
    <mergeCell ref="L18:P18"/>
    <mergeCell ref="T18:V18"/>
    <mergeCell ref="X23:AA23"/>
    <mergeCell ref="A19:E19"/>
    <mergeCell ref="G19:K19"/>
    <mergeCell ref="L19:P19"/>
    <mergeCell ref="T19:V19"/>
    <mergeCell ref="A20:E20"/>
    <mergeCell ref="G20:K20"/>
    <mergeCell ref="L20:P20"/>
    <mergeCell ref="T20:V20"/>
    <mergeCell ref="A7:D7"/>
    <mergeCell ref="E7:G7"/>
    <mergeCell ref="H7:M7"/>
    <mergeCell ref="N7:T7"/>
    <mergeCell ref="U7:AB7"/>
    <mergeCell ref="A8:D8"/>
    <mergeCell ref="E8:G8"/>
    <mergeCell ref="H8:M8"/>
    <mergeCell ref="U8:AB8"/>
    <mergeCell ref="A9:D9"/>
    <mergeCell ref="E9:G9"/>
    <mergeCell ref="H9:M9"/>
    <mergeCell ref="U9:AB9"/>
    <mergeCell ref="A14:P14"/>
    <mergeCell ref="Q14:Q15"/>
    <mergeCell ref="R14:R15"/>
    <mergeCell ref="S14:V14"/>
    <mergeCell ref="W14:AA14"/>
    <mergeCell ref="AB14:AB15"/>
    <mergeCell ref="A15:E15"/>
    <mergeCell ref="G15:K15"/>
    <mergeCell ref="L15:P15"/>
    <mergeCell ref="T15:V15"/>
    <mergeCell ref="X15:Z15"/>
    <mergeCell ref="A1:AB1"/>
    <mergeCell ref="A2:B2"/>
    <mergeCell ref="C2:D2"/>
    <mergeCell ref="E2:F2"/>
    <mergeCell ref="Y2:Z2"/>
    <mergeCell ref="AA2:AB2"/>
    <mergeCell ref="O3:P3"/>
    <mergeCell ref="Q3:X3"/>
    <mergeCell ref="Y3:Z4"/>
    <mergeCell ref="AA3:AB4"/>
    <mergeCell ref="A4:B4"/>
    <mergeCell ref="C4:D4"/>
    <mergeCell ref="E4:F4"/>
    <mergeCell ref="G4:X4"/>
    <mergeCell ref="A3:B3"/>
    <mergeCell ref="C3:D3"/>
    <mergeCell ref="E3:F3"/>
    <mergeCell ref="G3:I3"/>
    <mergeCell ref="J3:K3"/>
    <mergeCell ref="L3:N3"/>
  </mergeCells>
  <phoneticPr fontId="1"/>
  <dataValidations count="7">
    <dataValidation type="decimal" allowBlank="1" showInputMessage="1" showErrorMessage="1" sqref="R16:R21" xr:uid="{00000000-0002-0000-0100-000000000000}">
      <formula1>0.01</formula1>
      <formula2>1</formula2>
    </dataValidation>
    <dataValidation type="list" allowBlank="1" showInputMessage="1" showErrorMessage="1" sqref="L3:N3" xr:uid="{00000000-0002-0000-0100-000001000000}">
      <formula1>"DEC,BPO,海外,営業,本社"</formula1>
    </dataValidation>
    <dataValidation type="list" allowBlank="1" showInputMessage="1" showErrorMessage="1" sqref="E2:F2" xr:uid="{00000000-0002-0000-0100-000002000000}">
      <formula1>"上期,下期"</formula1>
    </dataValidation>
    <dataValidation type="list" allowBlank="1" showInputMessage="1" showErrorMessage="1" sqref="X36:X51 T36:T51" xr:uid="{00000000-0002-0000-0100-000003000000}">
      <formula1>$A$54:$A$58</formula1>
    </dataValidation>
    <dataValidation type="list" allowBlank="1" showInputMessage="1" showErrorMessage="1" sqref="S16:S21 W16:W22" xr:uid="{00000000-0002-0000-0100-000004000000}">
      <formula1>$J$26:$J$30</formula1>
    </dataValidation>
    <dataValidation type="list" allowBlank="1" showDropDown="1" showInputMessage="1" showErrorMessage="1" sqref="S22" xr:uid="{00000000-0002-0000-0100-000005000000}">
      <formula1>$J$26:$J$30</formula1>
    </dataValidation>
    <dataValidation type="list" allowBlank="1" showInputMessage="1" showErrorMessage="1" sqref="Q16:Q21" xr:uid="{00000000-0002-0000-0100-000006000000}">
      <formula1>$A$26:$A$29</formula1>
    </dataValidation>
  </dataValidations>
  <pageMargins left="0.51181102362204722" right="0.51181102362204722" top="0.35433070866141736" bottom="0.35433070866141736" header="0.11811023622047245" footer="0.11811023622047245"/>
  <pageSetup paperSize="9" scale="55" fitToHeight="0" orientation="portrait" r:id="rId1"/>
  <rowBreaks count="1" manualBreakCount="1">
    <brk id="3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7000000}">
          <x14:formula1>
            <xm:f>TBL!$I$4:$I$6</xm:f>
          </x14:formula1>
          <xm:sqref>Q3:X3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G19"/>
  <sheetViews>
    <sheetView showGridLines="0" zoomScale="70" zoomScaleNormal="70" zoomScaleSheetLayoutView="85" workbookViewId="0">
      <pane xSplit="3" ySplit="3" topLeftCell="D4" activePane="bottomRight" state="frozen"/>
      <selection activeCell="R32" sqref="R32"/>
      <selection pane="topRight" activeCell="R32" sqref="R32"/>
      <selection pane="bottomLeft" activeCell="R32" sqref="R32"/>
      <selection pane="bottomRight" activeCell="E6" sqref="E6"/>
    </sheetView>
  </sheetViews>
  <sheetFormatPr defaultColWidth="9" defaultRowHeight="14.25" x14ac:dyDescent="0.15"/>
  <cols>
    <col min="1" max="1" width="5.125" style="88" customWidth="1"/>
    <col min="2" max="3" width="21" style="88" customWidth="1"/>
    <col min="4" max="7" width="28.625" style="88" customWidth="1"/>
    <col min="8" max="16384" width="9" style="88"/>
  </cols>
  <sheetData>
    <row r="1" spans="1:7" ht="27.75" customHeight="1" x14ac:dyDescent="0.15">
      <c r="A1" s="87" t="s">
        <v>184</v>
      </c>
      <c r="G1" s="89"/>
    </row>
    <row r="2" spans="1:7" x14ac:dyDescent="0.15">
      <c r="A2" s="317" t="s">
        <v>185</v>
      </c>
      <c r="B2" s="318"/>
      <c r="C2" s="321" t="s">
        <v>45</v>
      </c>
      <c r="D2" s="321" t="s">
        <v>186</v>
      </c>
      <c r="E2" s="321"/>
      <c r="F2" s="321"/>
      <c r="G2" s="321"/>
    </row>
    <row r="3" spans="1:7" x14ac:dyDescent="0.15">
      <c r="A3" s="319"/>
      <c r="B3" s="320"/>
      <c r="C3" s="319"/>
      <c r="D3" s="90" t="s">
        <v>190</v>
      </c>
      <c r="E3" s="91" t="s">
        <v>191</v>
      </c>
      <c r="F3" s="91" t="s">
        <v>192</v>
      </c>
      <c r="G3" s="92" t="s">
        <v>193</v>
      </c>
    </row>
    <row r="4" spans="1:7" ht="92.25" customHeight="1" x14ac:dyDescent="0.15">
      <c r="A4" s="316" t="s">
        <v>196</v>
      </c>
      <c r="B4" s="93" t="s">
        <v>198</v>
      </c>
      <c r="C4" s="94" t="s">
        <v>204</v>
      </c>
      <c r="D4" s="95" t="s">
        <v>203</v>
      </c>
      <c r="E4" s="130" t="s">
        <v>257</v>
      </c>
      <c r="F4" s="96" t="s">
        <v>203</v>
      </c>
      <c r="G4" s="107" t="s">
        <v>203</v>
      </c>
    </row>
    <row r="5" spans="1:7" ht="92.25" customHeight="1" x14ac:dyDescent="0.15">
      <c r="A5" s="316"/>
      <c r="B5" s="97" t="s">
        <v>199</v>
      </c>
      <c r="C5" s="98" t="s">
        <v>205</v>
      </c>
      <c r="D5" s="104" t="s">
        <v>203</v>
      </c>
      <c r="E5" s="131" t="s">
        <v>263</v>
      </c>
      <c r="F5" s="105" t="s">
        <v>203</v>
      </c>
      <c r="G5" s="106" t="s">
        <v>203</v>
      </c>
    </row>
    <row r="6" spans="1:7" ht="92.25" customHeight="1" x14ac:dyDescent="0.15">
      <c r="A6" s="316"/>
      <c r="B6" s="97" t="s">
        <v>200</v>
      </c>
      <c r="C6" s="98" t="s">
        <v>206</v>
      </c>
      <c r="D6" s="104" t="s">
        <v>203</v>
      </c>
      <c r="E6" s="131" t="s">
        <v>258</v>
      </c>
      <c r="F6" s="105" t="s">
        <v>203</v>
      </c>
      <c r="G6" s="108" t="s">
        <v>203</v>
      </c>
    </row>
    <row r="7" spans="1:7" ht="92.25" customHeight="1" x14ac:dyDescent="0.15">
      <c r="A7" s="316"/>
      <c r="B7" s="99" t="s">
        <v>201</v>
      </c>
      <c r="C7" s="100" t="s">
        <v>207</v>
      </c>
      <c r="D7" s="101" t="s">
        <v>203</v>
      </c>
      <c r="E7" s="132" t="s">
        <v>259</v>
      </c>
      <c r="F7" s="102" t="s">
        <v>203</v>
      </c>
      <c r="G7" s="103" t="s">
        <v>203</v>
      </c>
    </row>
    <row r="8" spans="1:7" ht="92.25" customHeight="1" x14ac:dyDescent="0.15">
      <c r="A8" s="316" t="s">
        <v>208</v>
      </c>
      <c r="B8" s="93" t="s">
        <v>209</v>
      </c>
      <c r="C8" s="94" t="s">
        <v>210</v>
      </c>
      <c r="D8" s="95" t="s">
        <v>203</v>
      </c>
      <c r="E8" s="96" t="s">
        <v>211</v>
      </c>
      <c r="F8" s="115" t="s">
        <v>203</v>
      </c>
      <c r="G8" s="116" t="s">
        <v>203</v>
      </c>
    </row>
    <row r="9" spans="1:7" ht="92.25" customHeight="1" x14ac:dyDescent="0.15">
      <c r="A9" s="316"/>
      <c r="B9" s="97" t="s">
        <v>212</v>
      </c>
      <c r="C9" s="98" t="s">
        <v>213</v>
      </c>
      <c r="D9" s="117" t="s">
        <v>203</v>
      </c>
      <c r="E9" s="118" t="s">
        <v>214</v>
      </c>
      <c r="F9" s="118" t="s">
        <v>203</v>
      </c>
      <c r="G9" s="119" t="s">
        <v>203</v>
      </c>
    </row>
    <row r="10" spans="1:7" ht="92.25" customHeight="1" x14ac:dyDescent="0.15">
      <c r="A10" s="316"/>
      <c r="B10" s="99" t="s">
        <v>215</v>
      </c>
      <c r="C10" s="100" t="s">
        <v>216</v>
      </c>
      <c r="D10" s="101" t="s">
        <v>203</v>
      </c>
      <c r="E10" s="102" t="s">
        <v>217</v>
      </c>
      <c r="F10" s="102" t="s">
        <v>203</v>
      </c>
      <c r="G10" s="103" t="s">
        <v>203</v>
      </c>
    </row>
    <row r="11" spans="1:7" ht="92.25" customHeight="1" x14ac:dyDescent="0.15">
      <c r="A11" s="316" t="s">
        <v>244</v>
      </c>
      <c r="B11" s="97" t="s">
        <v>218</v>
      </c>
      <c r="C11" s="98" t="s">
        <v>219</v>
      </c>
      <c r="D11" s="104" t="s">
        <v>203</v>
      </c>
      <c r="E11" s="105" t="s">
        <v>220</v>
      </c>
      <c r="F11" s="105" t="s">
        <v>203</v>
      </c>
      <c r="G11" s="106" t="s">
        <v>203</v>
      </c>
    </row>
    <row r="12" spans="1:7" ht="71.25" x14ac:dyDescent="0.15">
      <c r="A12" s="316"/>
      <c r="B12" s="99" t="s">
        <v>221</v>
      </c>
      <c r="C12" s="100" t="s">
        <v>222</v>
      </c>
      <c r="D12" s="101" t="s">
        <v>203</v>
      </c>
      <c r="E12" s="120" t="s">
        <v>223</v>
      </c>
      <c r="F12" s="102" t="s">
        <v>203</v>
      </c>
      <c r="G12" s="121" t="s">
        <v>203</v>
      </c>
    </row>
    <row r="13" spans="1:7" ht="71.25" x14ac:dyDescent="0.15">
      <c r="A13" s="316" t="s">
        <v>245</v>
      </c>
      <c r="B13" s="97" t="s">
        <v>224</v>
      </c>
      <c r="C13" s="98" t="s">
        <v>225</v>
      </c>
      <c r="D13" s="104" t="s">
        <v>203</v>
      </c>
      <c r="E13" s="105" t="s">
        <v>226</v>
      </c>
      <c r="F13" s="105" t="s">
        <v>203</v>
      </c>
      <c r="G13" s="106" t="s">
        <v>203</v>
      </c>
    </row>
    <row r="14" spans="1:7" ht="85.5" x14ac:dyDescent="0.15">
      <c r="A14" s="316"/>
      <c r="B14" s="97" t="s">
        <v>227</v>
      </c>
      <c r="C14" s="98" t="s">
        <v>228</v>
      </c>
      <c r="D14" s="104" t="s">
        <v>203</v>
      </c>
      <c r="E14" s="105" t="s">
        <v>229</v>
      </c>
      <c r="F14" s="105" t="s">
        <v>203</v>
      </c>
      <c r="G14" s="108" t="s">
        <v>203</v>
      </c>
    </row>
    <row r="15" spans="1:7" ht="85.5" x14ac:dyDescent="0.15">
      <c r="A15" s="316"/>
      <c r="B15" s="99" t="s">
        <v>230</v>
      </c>
      <c r="C15" s="100" t="s">
        <v>231</v>
      </c>
      <c r="D15" s="101" t="s">
        <v>203</v>
      </c>
      <c r="E15" s="120" t="s">
        <v>232</v>
      </c>
      <c r="F15" s="102" t="s">
        <v>203</v>
      </c>
      <c r="G15" s="103" t="s">
        <v>203</v>
      </c>
    </row>
    <row r="16" spans="1:7" ht="57" x14ac:dyDescent="0.15">
      <c r="A16" s="316" t="s">
        <v>246</v>
      </c>
      <c r="B16" s="97" t="s">
        <v>233</v>
      </c>
      <c r="C16" s="98" t="s">
        <v>234</v>
      </c>
      <c r="D16" s="104" t="s">
        <v>203</v>
      </c>
      <c r="E16" s="105" t="s">
        <v>235</v>
      </c>
      <c r="F16" s="105" t="s">
        <v>203</v>
      </c>
      <c r="G16" s="106" t="s">
        <v>203</v>
      </c>
    </row>
    <row r="17" spans="1:7" ht="71.25" x14ac:dyDescent="0.15">
      <c r="A17" s="316"/>
      <c r="B17" s="97" t="s">
        <v>236</v>
      </c>
      <c r="C17" s="98" t="s">
        <v>237</v>
      </c>
      <c r="D17" s="104" t="s">
        <v>203</v>
      </c>
      <c r="E17" s="105" t="s">
        <v>41</v>
      </c>
      <c r="F17" s="105" t="s">
        <v>203</v>
      </c>
      <c r="G17" s="106" t="s">
        <v>203</v>
      </c>
    </row>
    <row r="18" spans="1:7" ht="71.25" x14ac:dyDescent="0.15">
      <c r="A18" s="316"/>
      <c r="B18" s="97" t="s">
        <v>238</v>
      </c>
      <c r="C18" s="98" t="s">
        <v>239</v>
      </c>
      <c r="D18" s="104" t="s">
        <v>203</v>
      </c>
      <c r="E18" s="105" t="s">
        <v>240</v>
      </c>
      <c r="F18" s="105" t="s">
        <v>203</v>
      </c>
      <c r="G18" s="108" t="s">
        <v>203</v>
      </c>
    </row>
    <row r="19" spans="1:7" ht="71.25" x14ac:dyDescent="0.15">
      <c r="A19" s="316"/>
      <c r="B19" s="97" t="s">
        <v>241</v>
      </c>
      <c r="C19" s="98" t="s">
        <v>242</v>
      </c>
      <c r="D19" s="104" t="s">
        <v>203</v>
      </c>
      <c r="E19" s="118" t="s">
        <v>243</v>
      </c>
      <c r="F19" s="118" t="s">
        <v>203</v>
      </c>
      <c r="G19" s="122" t="s">
        <v>203</v>
      </c>
    </row>
  </sheetData>
  <sheetProtection formatCells="0" formatRows="0"/>
  <mergeCells count="8">
    <mergeCell ref="A16:A19"/>
    <mergeCell ref="A2:B3"/>
    <mergeCell ref="C2:C3"/>
    <mergeCell ref="D2:G2"/>
    <mergeCell ref="A4:A7"/>
    <mergeCell ref="A8:A10"/>
    <mergeCell ref="A11:A12"/>
    <mergeCell ref="A13:A15"/>
  </mergeCells>
  <phoneticPr fontId="1"/>
  <pageMargins left="0.7" right="0.7" top="0.75" bottom="0.75" header="0.3" footer="0.3"/>
  <pageSetup paperSize="8" scale="75" orientation="portrait" r:id="rId1"/>
  <rowBreaks count="1" manualBreakCount="1">
    <brk id="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2:R23"/>
  <sheetViews>
    <sheetView workbookViewId="0">
      <selection activeCell="I33" sqref="I33"/>
    </sheetView>
  </sheetViews>
  <sheetFormatPr defaultColWidth="9" defaultRowHeight="14.25" x14ac:dyDescent="0.15"/>
  <cols>
    <col min="1" max="8" width="9" style="1"/>
    <col min="9" max="9" width="16.75" style="1" customWidth="1"/>
    <col min="10" max="12" width="9" style="1"/>
    <col min="13" max="13" width="11.375" style="1" customWidth="1"/>
    <col min="14" max="14" width="19.5" style="1" customWidth="1"/>
    <col min="15" max="16384" width="9" style="1"/>
  </cols>
  <sheetData>
    <row r="2" spans="1:18" x14ac:dyDescent="0.15">
      <c r="A2" s="1" t="s">
        <v>117</v>
      </c>
      <c r="D2" s="1" t="s">
        <v>116</v>
      </c>
      <c r="I2" s="1" t="s">
        <v>132</v>
      </c>
      <c r="M2" s="1" t="s">
        <v>131</v>
      </c>
      <c r="Q2" s="1" t="s">
        <v>134</v>
      </c>
    </row>
    <row r="3" spans="1:18" x14ac:dyDescent="0.15">
      <c r="A3" s="5" t="s">
        <v>118</v>
      </c>
      <c r="D3" s="5" t="s">
        <v>1</v>
      </c>
      <c r="E3" s="5" t="s">
        <v>2</v>
      </c>
      <c r="F3" s="5" t="s">
        <v>98</v>
      </c>
      <c r="G3" s="5" t="s">
        <v>13</v>
      </c>
      <c r="I3" s="6" t="s">
        <v>118</v>
      </c>
      <c r="J3" s="6" t="s">
        <v>133</v>
      </c>
      <c r="M3" s="5" t="s">
        <v>129</v>
      </c>
      <c r="N3" s="5" t="s">
        <v>130</v>
      </c>
      <c r="Q3" s="6" t="s">
        <v>140</v>
      </c>
      <c r="R3" s="6" t="s">
        <v>141</v>
      </c>
    </row>
    <row r="4" spans="1:18" x14ac:dyDescent="0.15">
      <c r="A4" s="2" t="s">
        <v>119</v>
      </c>
      <c r="D4" s="2" t="s">
        <v>89</v>
      </c>
      <c r="E4" s="2" t="s">
        <v>90</v>
      </c>
      <c r="F4" s="2" t="str">
        <f>D4&amp;E4</f>
        <v>SⅤ</v>
      </c>
      <c r="G4" s="8">
        <v>80</v>
      </c>
      <c r="I4" s="2" t="s">
        <v>188</v>
      </c>
      <c r="J4" s="2">
        <v>3</v>
      </c>
      <c r="M4" s="322" t="s">
        <v>9</v>
      </c>
      <c r="N4" s="7" t="s">
        <v>17</v>
      </c>
      <c r="Q4" s="2" t="s">
        <v>135</v>
      </c>
      <c r="R4" s="2">
        <v>80</v>
      </c>
    </row>
    <row r="5" spans="1:18" x14ac:dyDescent="0.15">
      <c r="A5" s="3" t="s">
        <v>120</v>
      </c>
      <c r="D5" s="3" t="s">
        <v>89</v>
      </c>
      <c r="E5" s="3" t="s">
        <v>91</v>
      </c>
      <c r="F5" s="3" t="str">
        <f t="shared" ref="F5:F23" si="0">D5&amp;E5</f>
        <v>SⅣ</v>
      </c>
      <c r="G5" s="9">
        <v>65</v>
      </c>
      <c r="I5" s="3" t="s">
        <v>189</v>
      </c>
      <c r="J5" s="3">
        <v>4</v>
      </c>
      <c r="M5" s="322"/>
      <c r="N5" s="7" t="s">
        <v>18</v>
      </c>
      <c r="Q5" s="3" t="s">
        <v>136</v>
      </c>
      <c r="R5" s="3">
        <v>60</v>
      </c>
    </row>
    <row r="6" spans="1:18" x14ac:dyDescent="0.15">
      <c r="A6" s="3" t="s">
        <v>121</v>
      </c>
      <c r="D6" s="3" t="s">
        <v>89</v>
      </c>
      <c r="E6" s="3" t="s">
        <v>92</v>
      </c>
      <c r="F6" s="3" t="str">
        <f t="shared" si="0"/>
        <v>SⅢ</v>
      </c>
      <c r="G6" s="9">
        <v>55</v>
      </c>
      <c r="I6" s="4" t="s">
        <v>194</v>
      </c>
      <c r="J6" s="4">
        <v>5</v>
      </c>
      <c r="M6" s="322"/>
      <c r="N6" s="7" t="s">
        <v>125</v>
      </c>
      <c r="Q6" s="3" t="s">
        <v>137</v>
      </c>
      <c r="R6" s="3">
        <v>40</v>
      </c>
    </row>
    <row r="7" spans="1:18" x14ac:dyDescent="0.15">
      <c r="A7" s="3" t="s">
        <v>122</v>
      </c>
      <c r="D7" s="3" t="s">
        <v>89</v>
      </c>
      <c r="E7" s="3" t="s">
        <v>93</v>
      </c>
      <c r="F7" s="3" t="str">
        <f t="shared" si="0"/>
        <v>SⅡ</v>
      </c>
      <c r="G7" s="9">
        <v>40</v>
      </c>
      <c r="M7" s="322" t="s">
        <v>19</v>
      </c>
      <c r="N7" s="7" t="s">
        <v>10</v>
      </c>
      <c r="Q7" s="3" t="s">
        <v>138</v>
      </c>
      <c r="R7" s="3">
        <v>20</v>
      </c>
    </row>
    <row r="8" spans="1:18" x14ac:dyDescent="0.15">
      <c r="A8" s="3" t="s">
        <v>123</v>
      </c>
      <c r="D8" s="3" t="s">
        <v>89</v>
      </c>
      <c r="E8" s="3" t="s">
        <v>94</v>
      </c>
      <c r="F8" s="3" t="str">
        <f t="shared" si="0"/>
        <v>SⅠ</v>
      </c>
      <c r="G8" s="9">
        <v>25</v>
      </c>
      <c r="M8" s="322"/>
      <c r="N8" s="7" t="s">
        <v>11</v>
      </c>
      <c r="Q8" s="4" t="s">
        <v>139</v>
      </c>
      <c r="R8" s="4">
        <v>1</v>
      </c>
    </row>
    <row r="9" spans="1:18" x14ac:dyDescent="0.15">
      <c r="A9" s="4" t="s">
        <v>124</v>
      </c>
      <c r="D9" s="3" t="s">
        <v>95</v>
      </c>
      <c r="E9" s="3" t="s">
        <v>90</v>
      </c>
      <c r="F9" s="3" t="str">
        <f t="shared" si="0"/>
        <v>AⅤ</v>
      </c>
      <c r="G9" s="9">
        <v>70</v>
      </c>
      <c r="M9" s="322"/>
      <c r="N9" s="11" t="s">
        <v>126</v>
      </c>
    </row>
    <row r="10" spans="1:18" x14ac:dyDescent="0.15">
      <c r="D10" s="3" t="s">
        <v>95</v>
      </c>
      <c r="E10" s="3" t="s">
        <v>91</v>
      </c>
      <c r="F10" s="3" t="str">
        <f t="shared" si="0"/>
        <v>AⅣ</v>
      </c>
      <c r="G10" s="9">
        <v>55</v>
      </c>
      <c r="M10" s="322"/>
      <c r="N10" s="7" t="s">
        <v>125</v>
      </c>
    </row>
    <row r="11" spans="1:18" x14ac:dyDescent="0.15">
      <c r="D11" s="3" t="s">
        <v>95</v>
      </c>
      <c r="E11" s="3" t="s">
        <v>92</v>
      </c>
      <c r="F11" s="3" t="str">
        <f t="shared" si="0"/>
        <v>AⅢ</v>
      </c>
      <c r="G11" s="9">
        <v>45</v>
      </c>
      <c r="M11" s="322" t="s">
        <v>8</v>
      </c>
      <c r="N11" s="7" t="s">
        <v>127</v>
      </c>
    </row>
    <row r="12" spans="1:18" x14ac:dyDescent="0.15">
      <c r="D12" s="3" t="s">
        <v>95</v>
      </c>
      <c r="E12" s="3" t="s">
        <v>93</v>
      </c>
      <c r="F12" s="3" t="str">
        <f t="shared" si="0"/>
        <v>AⅡ</v>
      </c>
      <c r="G12" s="9">
        <v>30</v>
      </c>
      <c r="M12" s="322"/>
      <c r="N12" s="7" t="s">
        <v>128</v>
      </c>
    </row>
    <row r="13" spans="1:18" x14ac:dyDescent="0.15">
      <c r="D13" s="3" t="s">
        <v>95</v>
      </c>
      <c r="E13" s="3" t="s">
        <v>94</v>
      </c>
      <c r="F13" s="3" t="str">
        <f t="shared" si="0"/>
        <v>AⅠ</v>
      </c>
      <c r="G13" s="9">
        <v>15</v>
      </c>
      <c r="M13" s="322"/>
      <c r="N13" s="7" t="s">
        <v>12</v>
      </c>
    </row>
    <row r="14" spans="1:18" x14ac:dyDescent="0.15">
      <c r="D14" s="3" t="s">
        <v>96</v>
      </c>
      <c r="E14" s="3" t="s">
        <v>90</v>
      </c>
      <c r="F14" s="3" t="str">
        <f t="shared" si="0"/>
        <v>BⅤ</v>
      </c>
      <c r="G14" s="9">
        <v>55</v>
      </c>
      <c r="M14" s="322"/>
      <c r="N14" s="7" t="s">
        <v>125</v>
      </c>
    </row>
    <row r="15" spans="1:18" x14ac:dyDescent="0.15">
      <c r="D15" s="3" t="s">
        <v>96</v>
      </c>
      <c r="E15" s="3" t="s">
        <v>91</v>
      </c>
      <c r="F15" s="3" t="str">
        <f t="shared" si="0"/>
        <v>BⅣ</v>
      </c>
      <c r="G15" s="9">
        <v>45</v>
      </c>
    </row>
    <row r="16" spans="1:18" x14ac:dyDescent="0.15">
      <c r="D16" s="3" t="s">
        <v>96</v>
      </c>
      <c r="E16" s="3" t="s">
        <v>92</v>
      </c>
      <c r="F16" s="3" t="str">
        <f t="shared" si="0"/>
        <v>BⅢ</v>
      </c>
      <c r="G16" s="9">
        <v>35</v>
      </c>
    </row>
    <row r="17" spans="4:7" x14ac:dyDescent="0.15">
      <c r="D17" s="3" t="s">
        <v>96</v>
      </c>
      <c r="E17" s="3" t="s">
        <v>93</v>
      </c>
      <c r="F17" s="3" t="str">
        <f t="shared" si="0"/>
        <v>BⅡ</v>
      </c>
      <c r="G17" s="9">
        <v>25</v>
      </c>
    </row>
    <row r="18" spans="4:7" x14ac:dyDescent="0.15">
      <c r="D18" s="3" t="s">
        <v>96</v>
      </c>
      <c r="E18" s="3" t="s">
        <v>94</v>
      </c>
      <c r="F18" s="3" t="str">
        <f t="shared" si="0"/>
        <v>BⅠ</v>
      </c>
      <c r="G18" s="9">
        <v>10</v>
      </c>
    </row>
    <row r="19" spans="4:7" x14ac:dyDescent="0.15">
      <c r="D19" s="3" t="s">
        <v>97</v>
      </c>
      <c r="E19" s="3" t="s">
        <v>90</v>
      </c>
      <c r="F19" s="3" t="str">
        <f t="shared" si="0"/>
        <v>CⅤ</v>
      </c>
      <c r="G19" s="9">
        <v>45</v>
      </c>
    </row>
    <row r="20" spans="4:7" x14ac:dyDescent="0.15">
      <c r="D20" s="3" t="s">
        <v>97</v>
      </c>
      <c r="E20" s="3" t="s">
        <v>91</v>
      </c>
      <c r="F20" s="3" t="str">
        <f t="shared" si="0"/>
        <v>CⅣ</v>
      </c>
      <c r="G20" s="9">
        <v>35</v>
      </c>
    </row>
    <row r="21" spans="4:7" x14ac:dyDescent="0.15">
      <c r="D21" s="3" t="s">
        <v>97</v>
      </c>
      <c r="E21" s="3" t="s">
        <v>92</v>
      </c>
      <c r="F21" s="3" t="str">
        <f t="shared" si="0"/>
        <v>CⅢ</v>
      </c>
      <c r="G21" s="9">
        <v>25</v>
      </c>
    </row>
    <row r="22" spans="4:7" x14ac:dyDescent="0.15">
      <c r="D22" s="3" t="s">
        <v>97</v>
      </c>
      <c r="E22" s="3" t="s">
        <v>93</v>
      </c>
      <c r="F22" s="3" t="str">
        <f t="shared" si="0"/>
        <v>CⅡ</v>
      </c>
      <c r="G22" s="9">
        <v>15</v>
      </c>
    </row>
    <row r="23" spans="4:7" x14ac:dyDescent="0.15">
      <c r="D23" s="4" t="s">
        <v>97</v>
      </c>
      <c r="E23" s="4" t="s">
        <v>94</v>
      </c>
      <c r="F23" s="4" t="str">
        <f t="shared" si="0"/>
        <v>CⅠ</v>
      </c>
      <c r="G23" s="10">
        <v>1</v>
      </c>
    </row>
  </sheetData>
  <sheetProtection sheet="1" objects="1" scenarios="1" formatCells="0" formatRows="0"/>
  <mergeCells count="3">
    <mergeCell ref="M4:M6"/>
    <mergeCell ref="M7:M10"/>
    <mergeCell ref="M11:M1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②評価シート（C）</vt:lpstr>
      <vt:lpstr>記入サンプル</vt:lpstr>
      <vt:lpstr>①行動評価項目</vt:lpstr>
      <vt:lpstr>TBL</vt:lpstr>
      <vt:lpstr>'②評価シート（C）'!Print_Area</vt:lpstr>
      <vt:lpstr>記入サンプル!Print_Area</vt:lpstr>
      <vt:lpstr>①行動評価項目!Print_Titles</vt:lpstr>
      <vt:lpstr>'②評価シート（C）'!Print_Titles</vt:lpstr>
      <vt:lpstr>記入サンプル!Print_Titles</vt:lpstr>
      <vt:lpstr>業績関連目標</vt:lpstr>
      <vt:lpstr>個人重点施策</vt:lpstr>
      <vt:lpstr>人材関連目標</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transcosmos staff</dc:creator>
  <cp:lastModifiedBy>Sugawara Takaaki</cp:lastModifiedBy>
  <cp:lastPrinted>2017-04-21T06:24:48Z</cp:lastPrinted>
  <dcterms:created xsi:type="dcterms:W3CDTF">2015-11-17T08:50:01Z</dcterms:created>
  <dcterms:modified xsi:type="dcterms:W3CDTF">2026-04-12T11:35:10Z</dcterms:modified>
</cp:coreProperties>
</file>